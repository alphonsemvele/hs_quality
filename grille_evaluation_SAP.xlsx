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Grille d'évaluation" sheetId="2" state="visible" r:id="rId4"/>
    <sheet name="Tableau de bord" sheetId="3" state="visible" r:id="rId5"/>
    <sheet name="Plan d'action" sheetId="4" state="visible" r:id="rId6"/>
    <sheet name="Sources" sheetId="5" state="visible" r:id="rId7"/>
  </sheets>
  <definedNames>
    <definedName function="false" hidden="true" localSheetId="1" name="_xlnm._FilterDatabase" vbProcedure="false">'Grille d''évaluation'!$A$3:$M$78</definedName>
    <definedName function="false" hidden="true" localSheetId="3" name="_xlnm._FilterDatabase" vbProcedure="false">'Plan d''action'!$A$3:$K$78</definedName>
    <definedName function="false" hidden="false" name="DonneesGrille" vbProcedure="false">'Grille d''évaluation'!$A$4:$M$78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<sst xmlns="http://schemas.openxmlformats.org/spreadsheetml/2006/main" count="535" uniqueCount="305">
  <si>
    <t xml:space="preserve">GRILLE D'AUTO-ÉVALUATION</t>
  </si>
  <si>
    <t xml:space="preserve">Référentiel unifié des structures de services à la personne</t>
  </si>
  <si>
    <t xml:space="preserve">Croisement HAS + AFNOR NF X50-056 / NF 311 + Cap'Handéo SAP V3</t>
  </si>
  <si>
    <t xml:space="preserve">OBJET</t>
  </si>
  <si>
    <t xml:space="preserve">Cette grille permet à une structure de services à la personne de réaliser une auto-évaluation complète selon le référentiel unifié croisant les trois cahiers des charges nationaux : HAS (obligatoire), AFNOR NF X50-056 / NF 311 et Cap'Handéo SAP V3.</t>
  </si>
  <si>
    <t xml:space="preserve">SYSTÈME DE COTATION (inspiré HAS)</t>
  </si>
  <si>
    <t xml:space="preserve">  A  —  Atteint à un niveau avancé</t>
  </si>
  <si>
    <t xml:space="preserve">L'exigence est satisfaite et déployée de manière exemplaire (bonnes pratiques formalisées, amélioration continue mesurée).</t>
  </si>
  <si>
    <t xml:space="preserve">  B  —  Atteint</t>
  </si>
  <si>
    <t xml:space="preserve">L'exigence est satisfaite : pratiques effectives, traçabilité présente, résultats conformes aux attendus.</t>
  </si>
  <si>
    <t xml:space="preserve">  C  —  Partiellement atteint</t>
  </si>
  <si>
    <t xml:space="preserve">L'exigence est partiellement satisfaite : démarche engagée mais incomplète, ou non systématique.</t>
  </si>
  <si>
    <t xml:space="preserve">  D  —  Non atteint</t>
  </si>
  <si>
    <t xml:space="preserve">L'exigence n'est pas satisfaite : absence de pratique, de procédure, ou de traçabilité.</t>
  </si>
  <si>
    <t xml:space="preserve">  NA  —  Non applicable</t>
  </si>
  <si>
    <t xml:space="preserve">L'exigence ne concerne pas la structure (à justifier en commentaire).</t>
  </si>
  <si>
    <t xml:space="preserve">ORIGINE DES EXIGENCES (BADGES)</t>
  </si>
  <si>
    <t xml:space="preserve">  HAS  </t>
  </si>
  <si>
    <t xml:space="preserve">Référentiel national HAS (mars 2022). Obligatoire pour tous les ESSMS — 3 chapitres, 9 thématiques, 42 objectifs, 157 critères dont 18 impératifs.</t>
  </si>
  <si>
    <t xml:space="preserve">  AFNOR  </t>
  </si>
  <si>
    <t xml:space="preserve">Norme AFNOR NF X50-056 + règles de certification NF 311 V10.1. Certification volontaire reconnue par arrêté ministériel.</t>
  </si>
  <si>
    <t xml:space="preserve">  Cap'H.  </t>
  </si>
  <si>
    <t xml:space="preserve">Référentiel Cap'Handéo Services à la personne V3. Certification volontaire supra-réglementaire spécialisée handicap et perte d'autonomie.</t>
  </si>
  <si>
    <t xml:space="preserve">NIVEAUX D'EXIGENCE</t>
  </si>
  <si>
    <t xml:space="preserve">S</t>
  </si>
  <si>
    <t xml:space="preserve">Standard : niveau attendu de qualité (réf. HAS) ou engagement de service de base.</t>
  </si>
  <si>
    <t xml:space="preserve">I</t>
  </si>
  <si>
    <t xml:space="preserve">Impératif : exigence HAS dont la non-satisfaction implique un plan d'action immédiat (PRIORITAIRE).</t>
  </si>
  <si>
    <t xml:space="preserve">+</t>
  </si>
  <si>
    <t xml:space="preserve">Supra-réglementaire : exigence Cap'Handéo allant au-delà du cadre légal.</t>
  </si>
  <si>
    <t xml:space="preserve">MODE OPÉRATOIRE</t>
  </si>
  <si>
    <t xml:space="preserve">1.</t>
  </si>
  <si>
    <t xml:space="preserve">Ouvrir l'onglet « Grille d'évaluation ».</t>
  </si>
  <si>
    <t xml:space="preserve">2.</t>
  </si>
  <si>
    <t xml:space="preserve">Pour chaque exigence, sélectionner la cotation (A / B / C / D / NA) dans la colonne « Cotation ».</t>
  </si>
  <si>
    <t xml:space="preserve">3.</t>
  </si>
  <si>
    <t xml:space="preserve">Indiquer dans « Preuves » les éléments documentaires existants (procédures, comptes-rendus, indicateurs).</t>
  </si>
  <si>
    <t xml:space="preserve">4.</t>
  </si>
  <si>
    <t xml:space="preserve">Indiquer dans « Constats » l'analyse de la situation (forces, écarts, contexte).</t>
  </si>
  <si>
    <t xml:space="preserve">5.</t>
  </si>
  <si>
    <t xml:space="preserve">Pour toute cotation C ou D, formaliser une « Action à mener » avec « Responsable », « Échéance » et « Statut ».</t>
  </si>
  <si>
    <t xml:space="preserve">6.</t>
  </si>
  <si>
    <t xml:space="preserve">Consulter l'onglet « Tableau de bord » pour suivre l'avancement global et par axe (calculs automatiques).</t>
  </si>
  <si>
    <t xml:space="preserve">7.</t>
  </si>
  <si>
    <t xml:space="preserve">Consulter l'onglet « Plan d'action » pour la vue consolidée des actions à mener (filtres automatiques).</t>
  </si>
  <si>
    <t xml:space="preserve">Référentiel unifié — 75 exigences réparties en 10 axes thématiques.</t>
  </si>
  <si>
    <t xml:space="preserve">GRILLE D'AUTO-ÉVALUATION — Référentiel unifié SAP</t>
  </si>
  <si>
    <t xml:space="preserve">HAS (national obligatoire) + AFNOR NF X50-056 / NF 311 + Cap'Handéo SAP V3</t>
  </si>
  <si>
    <t xml:space="preserve">N°</t>
  </si>
  <si>
    <t xml:space="preserve">Axe</t>
  </si>
  <si>
    <t xml:space="preserve">Exigence</t>
  </si>
  <si>
    <t xml:space="preserve">Sources</t>
  </si>
  <si>
    <t xml:space="preserve">Niv.</t>
  </si>
  <si>
    <t xml:space="preserve">Cotation</t>
  </si>
  <si>
    <t xml:space="preserve">Score</t>
  </si>
  <si>
    <t xml:space="preserve">Preuves / Documents</t>
  </si>
  <si>
    <t xml:space="preserve">Constats</t>
  </si>
  <si>
    <t xml:space="preserve">Action à mener</t>
  </si>
  <si>
    <t xml:space="preserve">Responsable</t>
  </si>
  <si>
    <t xml:space="preserve">Échéance</t>
  </si>
  <si>
    <t xml:space="preserve">Statut</t>
  </si>
  <si>
    <t xml:space="preserve">1.1</t>
  </si>
  <si>
    <t xml:space="preserve">Axe 1</t>
  </si>
  <si>
    <t xml:space="preserve">La personne accompagnée exprime sa perception de la bientraitance ; un dispositif d'écoute est en place.</t>
  </si>
  <si>
    <t xml:space="preserve">HAS / Cap'H.</t>
  </si>
  <si>
    <t xml:space="preserve">1.2</t>
  </si>
  <si>
    <t xml:space="preserve">La structure définit, formalise et déploie une stratégie de bientraitance partagée par l'ensemble des acteurs.</t>
  </si>
  <si>
    <t xml:space="preserve">HAS</t>
  </si>
  <si>
    <t xml:space="preserve">1.3</t>
  </si>
  <si>
    <t xml:space="preserve">Les professionnels sont régulièrement sensibilisés et/ou formés à la bientraitance.</t>
  </si>
  <si>
    <t xml:space="preserve">HAS / AFNOR / Cap'H.</t>
  </si>
  <si>
    <t xml:space="preserve">1.4</t>
  </si>
  <si>
    <t xml:space="preserve">La personne est informée de ses droits et devoirs (livret d'accueil, règlement de fonctionnement, charte) de façon claire et adaptée.</t>
  </si>
  <si>
    <t xml:space="preserve">HAS / AFNOR</t>
  </si>
  <si>
    <t xml:space="preserve">1.5</t>
  </si>
  <si>
    <t xml:space="preserve">La personne est systématiquement informée de la possibilité de désigner une personne de confiance.</t>
  </si>
  <si>
    <t xml:space="preserve">1.6</t>
  </si>
  <si>
    <t xml:space="preserve">Les professionnels respectent la dignité, l'intégrité, la vie privée et l'intimité de la personne accompagnée.</t>
  </si>
  <si>
    <t xml:space="preserve">1.7</t>
  </si>
  <si>
    <t xml:space="preserve">Les professionnels respectent la liberté d'opinion, les croyances, la vie spirituelle, le droit à l'image et la liberté d'aller et venir.</t>
  </si>
  <si>
    <t xml:space="preserve">1.8</t>
  </si>
  <si>
    <t xml:space="preserve">L'ESSMS garantit la confidentialité et la protection des données (RGPD, sécurisation des accès, dossier individuel).</t>
  </si>
  <si>
    <t xml:space="preserve">1.9</t>
  </si>
  <si>
    <t xml:space="preserve">Les professionnels identifient en équipe les questionnements éthiques et associent la personne et son entourage.</t>
  </si>
  <si>
    <t xml:space="preserve">1.10</t>
  </si>
  <si>
    <t xml:space="preserve">L'ESSMS définit un plan de prévention et de gestion des risques de maltraitance et de violence ; les signalements sont traités.</t>
  </si>
  <si>
    <t xml:space="preserve">1.11</t>
  </si>
  <si>
    <t xml:space="preserve">La personne en situation de handicap ou de fragilité bénéficie d'un accompagnement supra-réglementaire respectant son autodétermination et son projet de vie.</t>
  </si>
  <si>
    <t xml:space="preserve">Cap'H.</t>
  </si>
  <si>
    <t xml:space="preserve">2.1</t>
  </si>
  <si>
    <t xml:space="preserve">Axe 2</t>
  </si>
  <si>
    <t xml:space="preserve">La personne participe aux instances collectives (CVS, groupes d'expression) ou à toute autre forme de participation.</t>
  </si>
  <si>
    <t xml:space="preserve">2.2</t>
  </si>
  <si>
    <t xml:space="preserve">La personne est informée de la suite donnée aux demandes formulées dans les instances ; la traçabilité des échanges est assurée.</t>
  </si>
  <si>
    <t xml:space="preserve">2.3</t>
  </si>
  <si>
    <t xml:space="preserve">L'expression de la personne est recueillie tout au long de son accompagnement avec des moyens et outils adaptés (y compris communication alternative).</t>
  </si>
  <si>
    <t xml:space="preserve">2.4</t>
  </si>
  <si>
    <t xml:space="preserve">La personne exprime un consentement éclairé (ou un refus) ; sa traçabilité est assurée ; le refus est régulièrement réinterrogé.</t>
  </si>
  <si>
    <t xml:space="preserve">2.5</t>
  </si>
  <si>
    <t xml:space="preserve">La personne peut maintenir et créer des liens sociaux ; elle participe à la vie sociale, sportive, culturelle et de loisirs.</t>
  </si>
  <si>
    <t xml:space="preserve">2.6</t>
  </si>
  <si>
    <t xml:space="preserve">La personne est accompagnée dans sa participation à la vie citoyenne ; une éducation à la citoyenneté est proposée si nécessaire.</t>
  </si>
  <si>
    <t xml:space="preserve">2.7</t>
  </si>
  <si>
    <t xml:space="preserve">L'ESSMS met à disposition des espaces de rencontre, de socialisation, d'apaisement et de bien-être.</t>
  </si>
  <si>
    <t xml:space="preserve">2.8</t>
  </si>
  <si>
    <t xml:space="preserve">Le service mesure régulièrement la satisfaction de la personne, à titre individuel ET collectif, et exploite les résultats.</t>
  </si>
  <si>
    <t xml:space="preserve">AFNOR / Cap'H. / HAS</t>
  </si>
  <si>
    <t xml:space="preserve">3.1</t>
  </si>
  <si>
    <t xml:space="preserve">Axe 3</t>
  </si>
  <si>
    <t xml:space="preserve">La personne exprime ses attentes ; le projet d'accompagnement est coconstruit avec elle, son entourage et les professionnels en équipe.</t>
  </si>
  <si>
    <t xml:space="preserve">3.2</t>
  </si>
  <si>
    <t xml:space="preserve">Les besoins sont évalués à l'aide d'outils validés ; les ressources internes et externes sont mobilisées.</t>
  </si>
  <si>
    <t xml:space="preserve">3.3</t>
  </si>
  <si>
    <t xml:space="preserve">Le projet d'accompagnement est tracé et réévalué chaque fois que nécessaire, et au minimum une fois par an.</t>
  </si>
  <si>
    <t xml:space="preserve">3.4</t>
  </si>
  <si>
    <t xml:space="preserve">L'entourage est associé à l'accompagnement ; il est orienté vers les dispositifs de prévention, soutien et répit.</t>
  </si>
  <si>
    <t xml:space="preserve">3.5</t>
  </si>
  <si>
    <t xml:space="preserve">Le projet est adapté aux risques (fugue, addictions, chutes, dénutrition, sexualité, harcèlement, radicalisation, etc.).</t>
  </si>
  <si>
    <t xml:space="preserve">3.6</t>
  </si>
  <si>
    <t xml:space="preserve">Pour les personnes en situation de handicap : projet de vie et rythme pris en compte ; l'accompagnement s'appuie sur les RBPP de la HAS.</t>
  </si>
  <si>
    <t xml:space="preserve">3.7</t>
  </si>
  <si>
    <t xml:space="preserve">L'ESSMS coconstruit sa stratégie d'accompagnement dans une approche inclusive et s'inscrit dans des partenariats territoriaux.</t>
  </si>
  <si>
    <t xml:space="preserve">4.1</t>
  </si>
  <si>
    <t xml:space="preserve">Axe 4</t>
  </si>
  <si>
    <t xml:space="preserve">Les besoins en matière d'autonomie sont évalués régulièrement ; les attentes de la personne sont recueillies.</t>
  </si>
  <si>
    <t xml:space="preserve">4.2</t>
  </si>
  <si>
    <t xml:space="preserve">Les risques de perte d'autonomie et d'isolement social sont repérés de manière précoce ; les personnes-ressources alertées.</t>
  </si>
  <si>
    <t xml:space="preserve">4.3</t>
  </si>
  <si>
    <t xml:space="preserve">La personne est accompagnée pour accéder ou se maintenir dans son logement (y compris habitat inclusif).</t>
  </si>
  <si>
    <t xml:space="preserve">4.4</t>
  </si>
  <si>
    <t xml:space="preserve">Les professionnels soutiennent la personne dans son parcours scolaire et/ou professionnel, en lien avec les partenaires.</t>
  </si>
  <si>
    <t xml:space="preserve">4.5</t>
  </si>
  <si>
    <t xml:space="preserve">L'ESSMS définit et déploie une stratégie de préservation de l'autonomie et de prévention de l'isolement.</t>
  </si>
  <si>
    <t xml:space="preserve">5.1</t>
  </si>
  <si>
    <t xml:space="preserve">Axe 5</t>
  </si>
  <si>
    <t xml:space="preserve">La personne participe à la définition de ses besoins en prévention et éducation à la santé ; un programme adapté est mis en œuvre ou proposé.</t>
  </si>
  <si>
    <t xml:space="preserve">5.2</t>
  </si>
  <si>
    <t xml:space="preserve">La personne est informée des soins proposés selon des modalités adaptées ; un temps d'échange et de soutien est organisé.</t>
  </si>
  <si>
    <t xml:space="preserve">5.3</t>
  </si>
  <si>
    <t xml:space="preserve">La personne est associée à la gestion de son traitement médicamenteux pour favoriser sa compréhension, son adhésion et la continuité.</t>
  </si>
  <si>
    <t xml:space="preserve">5.4</t>
  </si>
  <si>
    <t xml:space="preserve">L'ESSMS définit et déploie sa stratégie de gestion du risque médicamenteux (circuit du médicament, iatrogénie).</t>
  </si>
  <si>
    <t xml:space="preserve">5.5</t>
  </si>
  <si>
    <t xml:space="preserve">L'ESSMS définit et déploie sa stratégie de prévention et de maîtrise du risque infectieux.</t>
  </si>
  <si>
    <t xml:space="preserve">5.6</t>
  </si>
  <si>
    <t xml:space="preserve">La douleur est repérée, évaluée régulièrement et tracée ; une stratégie de prise en charge est coconstruite avec la personne.</t>
  </si>
  <si>
    <t xml:space="preserve">5.7</t>
  </si>
  <si>
    <t xml:space="preserve">Les besoins d'accompagnement en santé mentale sont repérés, évalués et tracés ; un projet d'accompagnement spécifique est coconstruit.</t>
  </si>
  <si>
    <t xml:space="preserve">5.8</t>
  </si>
  <si>
    <t xml:space="preserve">Les volontés relatives à la fin de vie et directives anticipées sont recueillies, tracées et respectées ; le deuil est accompagné.</t>
  </si>
  <si>
    <t xml:space="preserve">5.9</t>
  </si>
  <si>
    <t xml:space="preserve">Les professionnels mobilisent les expertises et partenariats du territoire (intégration soin/aide).</t>
  </si>
  <si>
    <t xml:space="preserve">6.1</t>
  </si>
  <si>
    <t xml:space="preserve">Axe 6</t>
  </si>
  <si>
    <t xml:space="preserve">Les situations de transition ou de rupture sont anticipées ; la personne est accompagnée pour les prévenir.</t>
  </si>
  <si>
    <t xml:space="preserve">6.2</t>
  </si>
  <si>
    <t xml:space="preserve">Les professionnels se coordonnent avec les partenaires du territoire et partagent les informations nécessaires.</t>
  </si>
  <si>
    <t xml:space="preserve">6.3</t>
  </si>
  <si>
    <t xml:space="preserve">Les informations utiles à la continuité de l'accompagnement sont partagées entre professionnels dans le respect de la sécurisation des données.</t>
  </si>
  <si>
    <t xml:space="preserve">6.4</t>
  </si>
  <si>
    <t xml:space="preserve">En cas d'absence ou d'indisponibilité de l'intervenant, un remplacement est organisé dans des délais brefs (Cap'Handéo : dans l'heure).</t>
  </si>
  <si>
    <t xml:space="preserve">AFNOR / Cap'H.</t>
  </si>
  <si>
    <t xml:space="preserve">6.5</t>
  </si>
  <si>
    <t xml:space="preserve">La personne (et son entourage) est informée des alternatives ; des transmissions sont organisées en cas de relais.</t>
  </si>
  <si>
    <t xml:space="preserve">7.1</t>
  </si>
  <si>
    <t xml:space="preserve">Axe 7</t>
  </si>
  <si>
    <t xml:space="preserve">L'accueil (physique, téléphonique, numérique) est qualitatif : disponibilité, écoute, délais maîtrisés, traçabilité des demandes.</t>
  </si>
  <si>
    <t xml:space="preserve">AFNOR</t>
  </si>
  <si>
    <t xml:space="preserve">7.2</t>
  </si>
  <si>
    <t xml:space="preserve">L'information communiquée au prospect / client est claire, complète, sincère et non trompeuse.</t>
  </si>
  <si>
    <t xml:space="preserve">7.3</t>
  </si>
  <si>
    <t xml:space="preserve">Un diagnostic des besoins est réalisé au domicile préalablement à la mise en place du service ; un devis personnalisé est remis.</t>
  </si>
  <si>
    <t xml:space="preserve">7.4</t>
  </si>
  <si>
    <t xml:space="preserve">Un document contractuel (contrat / DIPC) est établi, conforme aux exigences réglementaires, signé par les deux parties.</t>
  </si>
  <si>
    <t xml:space="preserve">7.5</t>
  </si>
  <si>
    <t xml:space="preserve">L'offre couvre une amplitude horaire adaptée (Cap'Handéo : minimum 6h–23h, voire 24h/24, 7j/7 selon les besoins).</t>
  </si>
  <si>
    <t xml:space="preserve">7.6</t>
  </si>
  <si>
    <t xml:space="preserve">Une fiche de mission / cahier de liaison est mis en place au domicile ; les interventions sont tracées (horodatage, transmissions).</t>
  </si>
  <si>
    <t xml:space="preserve">7.7</t>
  </si>
  <si>
    <t xml:space="preserve">Les réclamations sont recueillies, tracées, traitées dans des délais maîtrisés et analysées pour mettre en place des actions correctives.</t>
  </si>
  <si>
    <t xml:space="preserve">AFNOR / HAS</t>
  </si>
  <si>
    <t xml:space="preserve">7.8</t>
  </si>
  <si>
    <t xml:space="preserve">La facturation est claire, conforme au contrat et au devis ; les modalités de règlement sont transparentes.</t>
  </si>
  <si>
    <t xml:space="preserve">8.1</t>
  </si>
  <si>
    <t xml:space="preserve">Axe 8</t>
  </si>
  <si>
    <t xml:space="preserve">Le recrutement est encadré : vérifications réglementaires (B3, diplômes), entretiens structurés, prise de références.</t>
  </si>
  <si>
    <t xml:space="preserve">8.2</t>
  </si>
  <si>
    <t xml:space="preserve">Tout nouveau professionnel bénéficie d'un processus d'accueil et d'intégration (parcours, tutorat, doublures).</t>
  </si>
  <si>
    <t xml:space="preserve">8.3</t>
  </si>
  <si>
    <t xml:space="preserve">Une équipe de professionnels formés et qualifiés est mise au service des accompagnements ; un plan annuel de formation est mis en œuvre.</t>
  </si>
  <si>
    <t xml:space="preserve">8.4</t>
  </si>
  <si>
    <t xml:space="preserve">Les intervenants sont spécifiquement formés aux différents handicaps et aux besoins de la perte d'autonomie.</t>
  </si>
  <si>
    <t xml:space="preserve">8.5</t>
  </si>
  <si>
    <t xml:space="preserve">Les encadrants sont compétents ; un ratio d'au moins 1 encadrant pour 30 intervenants est respecté (Cap'Handéo).</t>
  </si>
  <si>
    <t xml:space="preserve">8.6</t>
  </si>
  <si>
    <t xml:space="preserve">L'ESSMS adapte sa GEPP aux évolutions du secteur et de sa stratégie.</t>
  </si>
  <si>
    <t xml:space="preserve">8.7</t>
  </si>
  <si>
    <t xml:space="preserve">L'ESSMS met en œuvre une démarche de prévention des risques professionnels (DUERP, RPS, TMS, usure).</t>
  </si>
  <si>
    <t xml:space="preserve">8.8</t>
  </si>
  <si>
    <t xml:space="preserve">Une politique QVCT est promue : environnement de travail, espaces de discussion, soutien psychologique et éthique.</t>
  </si>
  <si>
    <t xml:space="preserve">8.9</t>
  </si>
  <si>
    <t xml:space="preserve">Des modalités de travail garantissent la sécurité, la continuité et la qualité (astreintes, permanence, planning).</t>
  </si>
  <si>
    <t xml:space="preserve">9.1</t>
  </si>
  <si>
    <t xml:space="preserve">Axe 9</t>
  </si>
  <si>
    <t xml:space="preserve">L'ESSMS définit sa politique qualité et gestion des risques ; les processus clés sont formalisés.</t>
  </si>
  <si>
    <t xml:space="preserve">9.2</t>
  </si>
  <si>
    <t xml:space="preserve">Un système de recueil, traitement et analyse des événements indésirables (EI/EIG) est en place ; actions correctives suivies.</t>
  </si>
  <si>
    <t xml:space="preserve">9.3</t>
  </si>
  <si>
    <t xml:space="preserve">Un système de recueil et traitement des plaintes et réclamations est en place ; parties prenantes informées des suites.</t>
  </si>
  <si>
    <t xml:space="preserve">9.4</t>
  </si>
  <si>
    <t xml:space="preserve">Les professionnels sont sensibilisés et/ou formés à la gestion des événements indésirables.</t>
  </si>
  <si>
    <t xml:space="preserve">9.5</t>
  </si>
  <si>
    <t xml:space="preserve">L'ESSMS est doté d'un plan de gestion de crise et de continuité d'activité, communiqué et réactualisé ; exercices et REX organisés.</t>
  </si>
  <si>
    <t xml:space="preserve">9.6</t>
  </si>
  <si>
    <t xml:space="preserve">Des audits internes et externes sont planifiés ; les écarts donnent lieu à des plans d'action mesurés.</t>
  </si>
  <si>
    <t xml:space="preserve">9.7</t>
  </si>
  <si>
    <t xml:space="preserve">L'ESSMS s'inscrit dans une dynamique d'innovation, déploie une stratégie numérique et de développement durable.</t>
  </si>
  <si>
    <t xml:space="preserve">9.8</t>
  </si>
  <si>
    <t xml:space="preserve">Les professionnels sont régulièrement sensibilisés et/ou formés aux outils numériques.</t>
  </si>
  <si>
    <t xml:space="preserve">10.1</t>
  </si>
  <si>
    <t xml:space="preserve">Axe 10</t>
  </si>
  <si>
    <t xml:space="preserve">La structure établit des liens formalisés et durables avec les acteurs du handicap (MDPH, associations, centres ressources).</t>
  </si>
  <si>
    <t xml:space="preserve">10.2</t>
  </si>
  <si>
    <t xml:space="preserve">La sous-traitance éventuelle est encadrée : sous-traitant Cap'Handéo de préférence, ou titulaire d'une autorisation/agrément.</t>
  </si>
  <si>
    <t xml:space="preserve">10.3</t>
  </si>
  <si>
    <t xml:space="preserve">Les proches aidants sont identifiés, informés, soutenus ; un référent aidant et des dispositifs de répit sont accessibles.</t>
  </si>
  <si>
    <t xml:space="preserve">10.4</t>
  </si>
  <si>
    <t xml:space="preserve">Une relation régulière est entretenue avec Handéo Services ; un recours est prévu en cas de difficultés.</t>
  </si>
  <si>
    <t xml:space="preserve">10.5</t>
  </si>
  <si>
    <t xml:space="preserve">La structure participe à la remontée d'observations terrain pour faire évoluer l'offre et le référentiel.</t>
  </si>
  <si>
    <t xml:space="preserve">TABLEAU DE BORD</t>
  </si>
  <si>
    <t xml:space="preserve">Synthèse de l'auto-évaluation (calculs automatiques basés sur la grille)</t>
  </si>
  <si>
    <t xml:space="preserve">SYNTHÈSE GLOBALE</t>
  </si>
  <si>
    <t xml:space="preserve">Total des exigences</t>
  </si>
  <si>
    <t xml:space="preserve">Exigences évaluées</t>
  </si>
  <si>
    <t xml:space="preserve">Taux d'évaluation</t>
  </si>
  <si>
    <t xml:space="preserve">Score moyen (/ 4)</t>
  </si>
  <si>
    <t xml:space="preserve">Taux de conformité (B + A)</t>
  </si>
  <si>
    <t xml:space="preserve">Taux d'écart (C + D)</t>
  </si>
  <si>
    <t xml:space="preserve">RÉPARTITION DES COTATIONS</t>
  </si>
  <si>
    <t xml:space="preserve">Code</t>
  </si>
  <si>
    <t xml:space="preserve">Libellé</t>
  </si>
  <si>
    <t xml:space="preserve">Nombre</t>
  </si>
  <si>
    <t xml:space="preserve">% du total</t>
  </si>
  <si>
    <t xml:space="preserve">A</t>
  </si>
  <si>
    <t xml:space="preserve">Atteint à un niveau avancé</t>
  </si>
  <si>
    <t xml:space="preserve">B</t>
  </si>
  <si>
    <t xml:space="preserve">Atteint</t>
  </si>
  <si>
    <t xml:space="preserve">C</t>
  </si>
  <si>
    <t xml:space="preserve">Partiellement atteint</t>
  </si>
  <si>
    <t xml:space="preserve">D</t>
  </si>
  <si>
    <t xml:space="preserve">Non atteint</t>
  </si>
  <si>
    <t xml:space="preserve">NA</t>
  </si>
  <si>
    <t xml:space="preserve">Non applicable</t>
  </si>
  <si>
    <t xml:space="preserve">SYNTHÈSE PAR AXE THÉMATIQUE</t>
  </si>
  <si>
    <t xml:space="preserve">Intitulé</t>
  </si>
  <si>
    <t xml:space="preserve">Nb exig.</t>
  </si>
  <si>
    <t xml:space="preserve">Évaluées</t>
  </si>
  <si>
    <t xml:space="preserve">Score moy.</t>
  </si>
  <si>
    <t xml:space="preserve">Conformité</t>
  </si>
  <si>
    <t xml:space="preserve">1</t>
  </si>
  <si>
    <t xml:space="preserve">DROITS, BIENTRAITANCE ET ÉTHIQUE</t>
  </si>
  <si>
    <t xml:space="preserve">2</t>
  </si>
  <si>
    <t xml:space="preserve">EXPRESSION, PARTICIPATION ET CITOYENNETÉ</t>
  </si>
  <si>
    <t xml:space="preserve">3</t>
  </si>
  <si>
    <t xml:space="preserve">COCONSTRUCTION ET PERSONNALISATION DU PROJET</t>
  </si>
  <si>
    <t xml:space="preserve">4</t>
  </si>
  <si>
    <t xml:space="preserve">ACCOMPAGNEMENT À L'AUTONOMIE</t>
  </si>
  <si>
    <t xml:space="preserve">5</t>
  </si>
  <si>
    <t xml:space="preserve">ACCOMPAGNEMENT À LA SANTÉ</t>
  </si>
  <si>
    <t xml:space="preserve">6</t>
  </si>
  <si>
    <t xml:space="preserve">CONTINUITÉ ET FLUIDITÉ DES PARCOURS</t>
  </si>
  <si>
    <t xml:space="preserve">7</t>
  </si>
  <si>
    <t xml:space="preserve">RELATION CLIENT ET PRESTATION À DOMICILE</t>
  </si>
  <si>
    <t xml:space="preserve">8</t>
  </si>
  <si>
    <t xml:space="preserve">POLITIQUE RH, COMPÉTENCES ET QVCT</t>
  </si>
  <si>
    <t xml:space="preserve">9</t>
  </si>
  <si>
    <t xml:space="preserve">DÉMARCHE QUALITÉ ET GESTION DES RISQUES</t>
  </si>
  <si>
    <t xml:space="preserve">10</t>
  </si>
  <si>
    <t xml:space="preserve">SPÉCIFICITÉS HANDICAP ET LIEN AVEC LES ACTEURS</t>
  </si>
  <si>
    <t xml:space="preserve">⚠ FOCUS : EXIGENCES IMPÉRATIVES HAS (priorité absolue)</t>
  </si>
  <si>
    <t xml:space="preserve">Nombre d'exigences impératives</t>
  </si>
  <si>
    <t xml:space="preserve">Impératives évaluées</t>
  </si>
  <si>
    <t xml:space="preserve">Impératives en non-conformité (D)</t>
  </si>
  <si>
    <t xml:space="preserve">Impératives partiellement (C)</t>
  </si>
  <si>
    <t xml:space="preserve">Impératives conformes (A + B)</t>
  </si>
  <si>
    <t xml:space="preserve">Taux de conformité des impératives</t>
  </si>
  <si>
    <t xml:space="preserve">PLAN D'ACTION — Vue consolidée</t>
  </si>
  <si>
    <t xml:space="preserve">Cette vue reprend automatiquement les éléments de la grille. Utilisez les filtres pour cibler les exigences à priorité élevée (Cotation D ou C, Niveau Impératif).</t>
  </si>
  <si>
    <t xml:space="preserve">Priorité (auto)</t>
  </si>
  <si>
    <t xml:space="preserve">RÉFÉRENTIELS SOURCES</t>
  </si>
  <si>
    <t xml:space="preserve">Source</t>
  </si>
  <si>
    <t xml:space="preserve">Référence</t>
  </si>
  <si>
    <t xml:space="preserve">Référentiel d'évaluation de la qualité des établissements et services sociaux et médico-sociaux — Mars 2022 (mises à jour annuelles). 3 chapitres, 9 thématiques, 42 objectifs, 157 critères (dont 18 impératifs).</t>
  </si>
  <si>
    <t xml:space="preserve">Lien officiel — https://www.has-sante.fr/jcms/p_3324490/fr/evaluation-des-essms-referentiel-et-manuel</t>
  </si>
  <si>
    <t xml:space="preserve">Norme NF X50-056 « Services aux personnes à domicile » — Document de référence (révision technique 2014). Norme payante, AFNOR.</t>
  </si>
  <si>
    <t xml:space="preserve">Règles de certification NF 311 V10.1 — Cadre opérationnel de la certification NF Service « Services aux personnes à domicile ».</t>
  </si>
  <si>
    <t xml:space="preserve">Arrêté ministériel — Arrêté NOR ECOI2035435A reconnaissant la conformité au cahier des charges de l'agrément (art. R. 7232-6 CT).</t>
  </si>
  <si>
    <t xml:space="preserve">Page AFNOR Certification — https://certification.afnor.org/services/certification-nf-service-services-aux-personnes-a-domicile</t>
  </si>
  <si>
    <t xml:space="preserve">Cap'Handéo</t>
  </si>
  <si>
    <t xml:space="preserve">Référentiel Cap'Handéo Services à la personne V3 — En vigueur depuis le 15/08/2022. Accréditation COFRAC (ISO/CEI 17065, n° 5-0624).</t>
  </si>
  <si>
    <t xml:space="preserve">Arrêté du 6 novembre 2019 — Conformité du référentiel V2 à l'annexe 3-0 du CASF.</t>
  </si>
  <si>
    <t xml:space="preserve">Arrêté du 15 mai 2018 — Équivalence évaluation externe (article L. 312-8 CASF).</t>
  </si>
  <si>
    <t xml:space="preserve">Page Handéo Services — https://handeosolutions.fr/</t>
  </si>
  <si>
    <t xml:space="preserve">Note : la norme NF X50-056 étant un document payant et le référentiel Cap'Handéo V3 ayant une diffusion limitée, les exigences AFNOR et Cap'Handéo de cette grille sont synthétisées à partir des sources publiques officielles. Pour un usage en certification, se référer aux versions intégrales et à jour des trois référentiels.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</si>
</sst>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%"/>
    <numFmt numFmtId="167" formatCode="0.00"/>
    <numFmt numFmtId="168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864"/>
      <name val="Calibri"/>
      <family val="0"/>
      <charset val="1"/>
    </font>
    <font>
      <i val="true"/>
      <sz val="13"/>
      <color rgb="FF2E75B6"/>
      <name val="Calibri"/>
      <family val="0"/>
      <charset val="1"/>
    </font>
    <font>
      <i val="true"/>
      <sz val="11"/>
      <color rgb="FF80808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8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00B0F0"/>
        <bgColor rgb="FF33CCCC"/>
      </patternFill>
    </fill>
    <fill>
      <patternFill patternType="solid">
        <fgColor rgb="FF70AD47"/>
        <bgColor rgb="FF99CC00"/>
      </patternFill>
    </fill>
    <fill>
      <patternFill patternType="solid">
        <fgColor rgb="FFFFC000"/>
        <bgColor rgb="FFFF9900"/>
      </patternFill>
    </fill>
    <fill>
      <patternFill patternType="solid">
        <fgColor rgb="FFC00000"/>
        <bgColor rgb="FF800000"/>
      </patternFill>
    </fill>
    <fill>
      <patternFill patternType="solid">
        <fgColor rgb="FFBFBFBF"/>
        <bgColor rgb="FF99CCFF"/>
      </patternFill>
    </fill>
    <fill>
      <patternFill patternType="solid">
        <fgColor rgb="FF2E7D32"/>
        <bgColor rgb="FF008000"/>
      </patternFill>
    </fill>
    <fill>
      <patternFill patternType="solid">
        <fgColor rgb="FFED7D31"/>
        <bgColor rgb="FFFF8080"/>
      </patternFill>
    </fill>
    <fill>
      <patternFill patternType="solid">
        <fgColor rgb="FFD9E2F3"/>
        <bgColor rgb="FFEAF1F8"/>
      </patternFill>
    </fill>
    <fill>
      <patternFill patternType="solid">
        <fgColor rgb="FF2E75B6"/>
        <bgColor rgb="FF0066CC"/>
      </patternFill>
    </fill>
    <fill>
      <patternFill patternType="solid">
        <fgColor rgb="FFEAF1F8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AF1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AF1F8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ont>
        <name val="Calibri"/>
        <charset val="1"/>
        <family val="0"/>
        <b val="1"/>
        <color rgb="FFFFFFFF"/>
        <sz val="11"/>
      </font>
      <fill>
        <patternFill>
          <bgColor rgb="FF00B0F0"/>
        </patternFill>
      </fill>
    </dxf>
    <dxf>
      <font>
        <name val="Calibri"/>
        <charset val="1"/>
        <family val="0"/>
        <b val="1"/>
        <color rgb="FFFFFFFF"/>
        <sz val="11"/>
      </font>
      <fill>
        <patternFill>
          <bgColor rgb="FF70AD47"/>
        </patternFill>
      </fill>
    </dxf>
    <dxf>
      <font>
        <name val="Calibri"/>
        <charset val="1"/>
        <family val="0"/>
        <b val="1"/>
        <color rgb="FFFFFFFF"/>
        <sz val="11"/>
      </font>
      <fill>
        <patternFill>
          <bgColor rgb="FFFFC000"/>
        </patternFill>
      </fill>
    </dxf>
    <dxf>
      <font>
        <name val="Calibri"/>
        <charset val="1"/>
        <family val="0"/>
        <b val="1"/>
        <color rgb="FFFFFFFF"/>
        <sz val="11"/>
      </font>
      <fill>
        <patternFill>
          <bgColor rgb="FFC00000"/>
        </patternFill>
      </fill>
    </dxf>
    <dxf>
      <font>
        <name val="Calibri"/>
        <charset val="1"/>
        <family val="0"/>
        <b val="1"/>
        <color rgb="FFFFFFFF"/>
        <sz val="11"/>
      </font>
      <fill>
        <patternFill>
          <bgColor rgb="FFBFBFBF"/>
        </patternFill>
      </fill>
    </dxf>
    <dxf>
      <font>
        <name val="Calibri"/>
        <charset val="1"/>
        <family val="0"/>
        <b val="1"/>
        <color rgb="FFFFFFFF"/>
        <sz val="11"/>
      </font>
      <fill>
        <patternFill>
          <bgColor rgb="FF808080"/>
        </patternFill>
      </fill>
    </dxf>
    <dxf>
      <font>
        <name val="Calibri"/>
        <charset val="1"/>
        <family val="0"/>
        <b val="1"/>
        <color rgb="FFFFFFFF"/>
        <sz val="11"/>
      </font>
      <fill>
        <patternFill>
          <bgColor rgb="FFED7D31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ED7D31"/>
        </patternFill>
      </fill>
    </dxf>
    <dxf>
      <font>
        <name val="Calibri"/>
        <charset val="1"/>
        <family val="0"/>
        <b val="1"/>
        <color rgb="FF000000"/>
        <sz val="10"/>
      </font>
      <fill>
        <patternFill>
          <bgColor rgb="FFFFC000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70AD4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AF1F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666699"/>
      <rgbColor rgb="FF70AD47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95"/>
  </cols>
  <sheetData>
    <row r="2" customFormat="false" ht="26.8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7" customFormat="false" ht="21.75" hidden="false" customHeight="true" outlineLevel="0" collapsed="false">
      <c r="B7" s="4" t="s">
        <v>3</v>
      </c>
      <c r="C7" s="4"/>
    </row>
    <row r="8" customFormat="false" ht="48" hidden="false" customHeight="true" outlineLevel="0" collapsed="false">
      <c r="B8" s="5" t="s">
        <v>4</v>
      </c>
      <c r="C8" s="5"/>
    </row>
    <row r="11" customFormat="false" ht="21.75" hidden="false" customHeight="true" outlineLevel="0" collapsed="false">
      <c r="B11" s="4" t="s">
        <v>5</v>
      </c>
      <c r="C11" s="4"/>
    </row>
    <row r="12" customFormat="false" ht="30" hidden="false" customHeight="true" outlineLevel="0" collapsed="false">
      <c r="B12" s="6" t="s">
        <v>6</v>
      </c>
      <c r="C12" s="7" t="s">
        <v>7</v>
      </c>
    </row>
    <row r="13" customFormat="false" ht="30" hidden="false" customHeight="true" outlineLevel="0" collapsed="false">
      <c r="B13" s="8" t="s">
        <v>8</v>
      </c>
      <c r="C13" s="7" t="s">
        <v>9</v>
      </c>
    </row>
    <row r="14" customFormat="false" ht="30" hidden="false" customHeight="true" outlineLevel="0" collapsed="false">
      <c r="B14" s="9" t="s">
        <v>10</v>
      </c>
      <c r="C14" s="7" t="s">
        <v>11</v>
      </c>
    </row>
    <row r="15" customFormat="false" ht="30" hidden="false" customHeight="true" outlineLevel="0" collapsed="false">
      <c r="B15" s="10" t="s">
        <v>12</v>
      </c>
      <c r="C15" s="7" t="s">
        <v>13</v>
      </c>
    </row>
    <row r="16" customFormat="false" ht="30" hidden="false" customHeight="true" outlineLevel="0" collapsed="false">
      <c r="B16" s="11" t="s">
        <v>14</v>
      </c>
      <c r="C16" s="7" t="s">
        <v>15</v>
      </c>
    </row>
    <row r="18" customFormat="false" ht="21.75" hidden="false" customHeight="true" outlineLevel="0" collapsed="false">
      <c r="B18" s="4" t="s">
        <v>16</v>
      </c>
      <c r="C18" s="4"/>
    </row>
    <row r="19" customFormat="false" ht="31.5" hidden="false" customHeight="true" outlineLevel="0" collapsed="false">
      <c r="B19" s="12" t="s">
        <v>17</v>
      </c>
      <c r="C19" s="7" t="s">
        <v>18</v>
      </c>
    </row>
    <row r="20" customFormat="false" ht="31.5" hidden="false" customHeight="true" outlineLevel="0" collapsed="false">
      <c r="B20" s="13" t="s">
        <v>19</v>
      </c>
      <c r="C20" s="7" t="s">
        <v>20</v>
      </c>
    </row>
    <row r="21" customFormat="false" ht="31.5" hidden="false" customHeight="true" outlineLevel="0" collapsed="false">
      <c r="B21" s="14" t="s">
        <v>21</v>
      </c>
      <c r="C21" s="7" t="s">
        <v>22</v>
      </c>
    </row>
    <row r="23" customFormat="false" ht="21.75" hidden="false" customHeight="true" outlineLevel="0" collapsed="false">
      <c r="B23" s="4" t="s">
        <v>23</v>
      </c>
      <c r="C23" s="4"/>
    </row>
    <row r="24" customFormat="false" ht="25.5" hidden="false" customHeight="true" outlineLevel="0" collapsed="false">
      <c r="B24" s="15" t="s">
        <v>24</v>
      </c>
      <c r="C24" s="7" t="s">
        <v>25</v>
      </c>
    </row>
    <row r="25" customFormat="false" ht="25.5" hidden="false" customHeight="true" outlineLevel="0" collapsed="false">
      <c r="B25" s="15" t="s">
        <v>26</v>
      </c>
      <c r="C25" s="7" t="s">
        <v>27</v>
      </c>
    </row>
    <row r="26" customFormat="false" ht="25.5" hidden="false" customHeight="true" outlineLevel="0" collapsed="false">
      <c r="B26" s="15" t="s">
        <v>28</v>
      </c>
      <c r="C26" s="7" t="s">
        <v>29</v>
      </c>
    </row>
    <row r="28" customFormat="false" ht="21.75" hidden="false" customHeight="true" outlineLevel="0" collapsed="false">
      <c r="B28" s="4" t="s">
        <v>30</v>
      </c>
      <c r="C28" s="4"/>
    </row>
    <row r="29" customFormat="false" ht="21.75" hidden="false" customHeight="true" outlineLevel="0" collapsed="false">
      <c r="B29" s="16" t="s">
        <v>31</v>
      </c>
      <c r="C29" s="7" t="s">
        <v>32</v>
      </c>
    </row>
    <row r="30" customFormat="false" ht="21.75" hidden="false" customHeight="true" outlineLevel="0" collapsed="false">
      <c r="B30" s="16" t="s">
        <v>33</v>
      </c>
      <c r="C30" s="7" t="s">
        <v>34</v>
      </c>
    </row>
    <row r="31" customFormat="false" ht="21.75" hidden="false" customHeight="true" outlineLevel="0" collapsed="false">
      <c r="B31" s="16" t="s">
        <v>35</v>
      </c>
      <c r="C31" s="7" t="s">
        <v>36</v>
      </c>
    </row>
    <row r="32" customFormat="false" ht="21.75" hidden="false" customHeight="true" outlineLevel="0" collapsed="false">
      <c r="B32" s="16" t="s">
        <v>37</v>
      </c>
      <c r="C32" s="7" t="s">
        <v>38</v>
      </c>
    </row>
    <row r="33" customFormat="false" ht="21.75" hidden="false" customHeight="true" outlineLevel="0" collapsed="false">
      <c r="B33" s="16" t="s">
        <v>39</v>
      </c>
      <c r="C33" s="7" t="s">
        <v>40</v>
      </c>
    </row>
    <row r="34" customFormat="false" ht="21.75" hidden="false" customHeight="true" outlineLevel="0" collapsed="false">
      <c r="B34" s="16" t="s">
        <v>41</v>
      </c>
      <c r="C34" s="7" t="s">
        <v>42</v>
      </c>
    </row>
    <row r="35" customFormat="false" ht="21.75" hidden="false" customHeight="true" outlineLevel="0" collapsed="false">
      <c r="B35" s="16" t="s">
        <v>43</v>
      </c>
      <c r="C35" s="7" t="s">
        <v>44</v>
      </c>
    </row>
    <row r="37" customFormat="false" ht="15" hidden="false" customHeight="false" outlineLevel="0" collapsed="false">
      <c r="B37" s="17" t="s">
        <v>45</v>
      </c>
      <c r="C37" s="17"/>
    </row>
  </sheetData>
  <mergeCells count="7">
    <mergeCell ref="B7:C7"/>
    <mergeCell ref="B8:C8"/>
    <mergeCell ref="B11:C11"/>
    <mergeCell ref="B18:C18"/>
    <mergeCell ref="B23:C23"/>
    <mergeCell ref="B28:C28"/>
    <mergeCell ref="B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10" min="8" style="0" width="30"/>
    <col collapsed="false" customWidth="true" hidden="false" outlineLevel="0" max="11" min="11" style="0" width="15"/>
    <col collapsed="false" customWidth="true" hidden="false" outlineLevel="0" max="13" min="12" style="0" width="12"/>
  </cols>
  <sheetData>
    <row r="1" customFormat="false" ht="27.75" hidden="false" customHeight="true" outlineLevel="0" collapsed="false">
      <c r="A1" s="18" t="s">
        <v>46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customFormat="false" ht="18" hidden="false" customHeight="true" outlineLevel="0" collapsed="false">
      <c r="A2" s="19" t="s">
        <v>47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customFormat="false" ht="31.5" hidden="false" customHeight="true" outlineLevel="0" collapsed="false">
      <c r="A3" s="20" t="s">
        <v>48</v>
      </c>
      <c r="B3" s="20" t="s">
        <v>49</v>
      </c>
      <c r="C3" s="20" t="s">
        <v>50</v>
      </c>
      <c r="D3" s="20" t="s">
        <v>51</v>
      </c>
      <c r="E3" s="20" t="s">
        <v>52</v>
      </c>
      <c r="F3" s="20" t="s">
        <v>53</v>
      </c>
      <c r="G3" s="20" t="s">
        <v>54</v>
      </c>
      <c r="H3" s="20" t="s">
        <v>55</v>
      </c>
      <c r="I3" s="20" t="s">
        <v>56</v>
      </c>
      <c r="J3" s="20" t="s">
        <v>57</v>
      </c>
      <c r="K3" s="20" t="s">
        <v>58</v>
      </c>
      <c r="L3" s="20" t="s">
        <v>59</v>
      </c>
      <c r="M3" s="20" t="s">
        <v>60</v>
      </c>
    </row>
    <row r="4" customFormat="false" ht="48" hidden="false" customHeight="true" outlineLevel="0" collapsed="false">
      <c r="A4" s="21" t="s">
        <v>61</v>
      </c>
      <c r="B4" s="22" t="s">
        <v>62</v>
      </c>
      <c r="C4" s="23" t="s">
        <v>63</v>
      </c>
      <c r="D4" s="24" t="s">
        <v>64</v>
      </c>
      <c r="E4" s="25" t="s">
        <v>24</v>
      </c>
      <c r="F4" s="26"/>
      <c r="G4" s="27" t="str">
        <f aca="false">IF(F4="A",4,IF(F4="B",3,IF(F4="C",2,IF(F4="D",1,""))))</f>
        <v/>
      </c>
      <c r="H4" s="28"/>
      <c r="I4" s="28"/>
      <c r="J4" s="28"/>
      <c r="K4" s="28"/>
      <c r="L4" s="28"/>
      <c r="M4" s="28"/>
    </row>
    <row r="5" customFormat="false" ht="48" hidden="false" customHeight="true" outlineLevel="0" collapsed="false">
      <c r="A5" s="21" t="s">
        <v>65</v>
      </c>
      <c r="B5" s="22" t="s">
        <v>62</v>
      </c>
      <c r="C5" s="23" t="s">
        <v>66</v>
      </c>
      <c r="D5" s="29" t="s">
        <v>67</v>
      </c>
      <c r="E5" s="25" t="s">
        <v>24</v>
      </c>
      <c r="F5" s="26"/>
      <c r="G5" s="27" t="str">
        <f aca="false">IF(F5="A",4,IF(F5="B",3,IF(F5="C",2,IF(F5="D",1,""))))</f>
        <v/>
      </c>
      <c r="H5" s="28"/>
      <c r="I5" s="28"/>
      <c r="J5" s="28"/>
      <c r="K5" s="28"/>
      <c r="L5" s="28"/>
      <c r="M5" s="28"/>
    </row>
    <row r="6" customFormat="false" ht="48" hidden="false" customHeight="true" outlineLevel="0" collapsed="false">
      <c r="A6" s="21" t="s">
        <v>68</v>
      </c>
      <c r="B6" s="22" t="s">
        <v>62</v>
      </c>
      <c r="C6" s="23" t="s">
        <v>69</v>
      </c>
      <c r="D6" s="24" t="s">
        <v>70</v>
      </c>
      <c r="E6" s="25" t="s">
        <v>24</v>
      </c>
      <c r="F6" s="26"/>
      <c r="G6" s="27" t="str">
        <f aca="false">IF(F6="A",4,IF(F6="B",3,IF(F6="C",2,IF(F6="D",1,""))))</f>
        <v/>
      </c>
      <c r="H6" s="28"/>
      <c r="I6" s="28"/>
      <c r="J6" s="28"/>
      <c r="K6" s="28"/>
      <c r="L6" s="28"/>
      <c r="M6" s="28"/>
    </row>
    <row r="7" customFormat="false" ht="48" hidden="false" customHeight="true" outlineLevel="0" collapsed="false">
      <c r="A7" s="21" t="s">
        <v>71</v>
      </c>
      <c r="B7" s="22" t="s">
        <v>62</v>
      </c>
      <c r="C7" s="23" t="s">
        <v>72</v>
      </c>
      <c r="D7" s="24" t="s">
        <v>73</v>
      </c>
      <c r="E7" s="25" t="s">
        <v>24</v>
      </c>
      <c r="F7" s="26"/>
      <c r="G7" s="27" t="str">
        <f aca="false">IF(F7="A",4,IF(F7="B",3,IF(F7="C",2,IF(F7="D",1,""))))</f>
        <v/>
      </c>
      <c r="H7" s="28"/>
      <c r="I7" s="28"/>
      <c r="J7" s="28"/>
      <c r="K7" s="28"/>
      <c r="L7" s="28"/>
      <c r="M7" s="28"/>
    </row>
    <row r="8" customFormat="false" ht="48" hidden="false" customHeight="true" outlineLevel="0" collapsed="false">
      <c r="A8" s="21" t="s">
        <v>74</v>
      </c>
      <c r="B8" s="22" t="s">
        <v>62</v>
      </c>
      <c r="C8" s="23" t="s">
        <v>75</v>
      </c>
      <c r="D8" s="29" t="s">
        <v>67</v>
      </c>
      <c r="E8" s="30" t="s">
        <v>26</v>
      </c>
      <c r="F8" s="26"/>
      <c r="G8" s="27" t="str">
        <f aca="false">IF(F8="A",4,IF(F8="B",3,IF(F8="C",2,IF(F8="D",1,""))))</f>
        <v/>
      </c>
      <c r="H8" s="28"/>
      <c r="I8" s="28"/>
      <c r="J8" s="28"/>
      <c r="K8" s="28"/>
      <c r="L8" s="28"/>
      <c r="M8" s="28"/>
    </row>
    <row r="9" customFormat="false" ht="48" hidden="false" customHeight="true" outlineLevel="0" collapsed="false">
      <c r="A9" s="21" t="s">
        <v>76</v>
      </c>
      <c r="B9" s="22" t="s">
        <v>62</v>
      </c>
      <c r="C9" s="23" t="s">
        <v>77</v>
      </c>
      <c r="D9" s="24" t="s">
        <v>70</v>
      </c>
      <c r="E9" s="30" t="s">
        <v>26</v>
      </c>
      <c r="F9" s="26"/>
      <c r="G9" s="27" t="str">
        <f aca="false">IF(F9="A",4,IF(F9="B",3,IF(F9="C",2,IF(F9="D",1,""))))</f>
        <v/>
      </c>
      <c r="H9" s="28"/>
      <c r="I9" s="28"/>
      <c r="J9" s="28"/>
      <c r="K9" s="28"/>
      <c r="L9" s="28"/>
      <c r="M9" s="28"/>
    </row>
    <row r="10" customFormat="false" ht="48" hidden="false" customHeight="true" outlineLevel="0" collapsed="false">
      <c r="A10" s="21" t="s">
        <v>78</v>
      </c>
      <c r="B10" s="22" t="s">
        <v>62</v>
      </c>
      <c r="C10" s="23" t="s">
        <v>79</v>
      </c>
      <c r="D10" s="29" t="s">
        <v>67</v>
      </c>
      <c r="E10" s="25" t="s">
        <v>24</v>
      </c>
      <c r="F10" s="26"/>
      <c r="G10" s="27" t="str">
        <f aca="false">IF(F10="A",4,IF(F10="B",3,IF(F10="C",2,IF(F10="D",1,""))))</f>
        <v/>
      </c>
      <c r="H10" s="28"/>
      <c r="I10" s="28"/>
      <c r="J10" s="28"/>
      <c r="K10" s="28"/>
      <c r="L10" s="28"/>
      <c r="M10" s="28"/>
    </row>
    <row r="11" customFormat="false" ht="48" hidden="false" customHeight="true" outlineLevel="0" collapsed="false">
      <c r="A11" s="21" t="s">
        <v>80</v>
      </c>
      <c r="B11" s="22" t="s">
        <v>62</v>
      </c>
      <c r="C11" s="23" t="s">
        <v>81</v>
      </c>
      <c r="D11" s="24" t="s">
        <v>73</v>
      </c>
      <c r="E11" s="30" t="s">
        <v>26</v>
      </c>
      <c r="F11" s="26"/>
      <c r="G11" s="27" t="str">
        <f aca="false">IF(F11="A",4,IF(F11="B",3,IF(F11="C",2,IF(F11="D",1,""))))</f>
        <v/>
      </c>
      <c r="H11" s="28"/>
      <c r="I11" s="28"/>
      <c r="J11" s="28"/>
      <c r="K11" s="28"/>
      <c r="L11" s="28"/>
      <c r="M11" s="28"/>
    </row>
    <row r="12" customFormat="false" ht="48" hidden="false" customHeight="true" outlineLevel="0" collapsed="false">
      <c r="A12" s="21" t="s">
        <v>82</v>
      </c>
      <c r="B12" s="22" t="s">
        <v>62</v>
      </c>
      <c r="C12" s="23" t="s">
        <v>83</v>
      </c>
      <c r="D12" s="29" t="s">
        <v>67</v>
      </c>
      <c r="E12" s="25" t="s">
        <v>24</v>
      </c>
      <c r="F12" s="26"/>
      <c r="G12" s="27" t="str">
        <f aca="false">IF(F12="A",4,IF(F12="B",3,IF(F12="C",2,IF(F12="D",1,""))))</f>
        <v/>
      </c>
      <c r="H12" s="28"/>
      <c r="I12" s="28"/>
      <c r="J12" s="28"/>
      <c r="K12" s="28"/>
      <c r="L12" s="28"/>
      <c r="M12" s="28"/>
    </row>
    <row r="13" customFormat="false" ht="48" hidden="false" customHeight="true" outlineLevel="0" collapsed="false">
      <c r="A13" s="21" t="s">
        <v>84</v>
      </c>
      <c r="B13" s="22" t="s">
        <v>62</v>
      </c>
      <c r="C13" s="23" t="s">
        <v>85</v>
      </c>
      <c r="D13" s="29" t="s">
        <v>67</v>
      </c>
      <c r="E13" s="30" t="s">
        <v>26</v>
      </c>
      <c r="F13" s="26"/>
      <c r="G13" s="27" t="str">
        <f aca="false">IF(F13="A",4,IF(F13="B",3,IF(F13="C",2,IF(F13="D",1,""))))</f>
        <v/>
      </c>
      <c r="H13" s="28"/>
      <c r="I13" s="28"/>
      <c r="J13" s="28"/>
      <c r="K13" s="28"/>
      <c r="L13" s="28"/>
      <c r="M13" s="28"/>
    </row>
    <row r="14" customFormat="false" ht="48" hidden="false" customHeight="true" outlineLevel="0" collapsed="false">
      <c r="A14" s="21" t="s">
        <v>86</v>
      </c>
      <c r="B14" s="22" t="s">
        <v>62</v>
      </c>
      <c r="C14" s="23" t="s">
        <v>87</v>
      </c>
      <c r="D14" s="31" t="s">
        <v>88</v>
      </c>
      <c r="E14" s="32" t="s">
        <v>28</v>
      </c>
      <c r="F14" s="26"/>
      <c r="G14" s="27" t="str">
        <f aca="false">IF(F14="A",4,IF(F14="B",3,IF(F14="C",2,IF(F14="D",1,""))))</f>
        <v/>
      </c>
      <c r="H14" s="28"/>
      <c r="I14" s="28"/>
      <c r="J14" s="28"/>
      <c r="K14" s="28"/>
      <c r="L14" s="28"/>
      <c r="M14" s="28"/>
    </row>
    <row r="15" customFormat="false" ht="48" hidden="false" customHeight="true" outlineLevel="0" collapsed="false">
      <c r="A15" s="21" t="s">
        <v>89</v>
      </c>
      <c r="B15" s="22" t="s">
        <v>90</v>
      </c>
      <c r="C15" s="23" t="s">
        <v>91</v>
      </c>
      <c r="D15" s="24" t="s">
        <v>64</v>
      </c>
      <c r="E15" s="25" t="s">
        <v>24</v>
      </c>
      <c r="F15" s="26"/>
      <c r="G15" s="27" t="str">
        <f aca="false">IF(F15="A",4,IF(F15="B",3,IF(F15="C",2,IF(F15="D",1,""))))</f>
        <v/>
      </c>
      <c r="H15" s="28"/>
      <c r="I15" s="28"/>
      <c r="J15" s="28"/>
      <c r="K15" s="28"/>
      <c r="L15" s="28"/>
      <c r="M15" s="28"/>
    </row>
    <row r="16" customFormat="false" ht="48" hidden="false" customHeight="true" outlineLevel="0" collapsed="false">
      <c r="A16" s="21" t="s">
        <v>92</v>
      </c>
      <c r="B16" s="22" t="s">
        <v>90</v>
      </c>
      <c r="C16" s="23" t="s">
        <v>93</v>
      </c>
      <c r="D16" s="29" t="s">
        <v>67</v>
      </c>
      <c r="E16" s="25" t="s">
        <v>24</v>
      </c>
      <c r="F16" s="26"/>
      <c r="G16" s="27" t="str">
        <f aca="false">IF(F16="A",4,IF(F16="B",3,IF(F16="C",2,IF(F16="D",1,""))))</f>
        <v/>
      </c>
      <c r="H16" s="28"/>
      <c r="I16" s="28"/>
      <c r="J16" s="28"/>
      <c r="K16" s="28"/>
      <c r="L16" s="28"/>
      <c r="M16" s="28"/>
    </row>
    <row r="17" customFormat="false" ht="48" hidden="false" customHeight="true" outlineLevel="0" collapsed="false">
      <c r="A17" s="21" t="s">
        <v>94</v>
      </c>
      <c r="B17" s="22" t="s">
        <v>90</v>
      </c>
      <c r="C17" s="23" t="s">
        <v>95</v>
      </c>
      <c r="D17" s="24" t="s">
        <v>64</v>
      </c>
      <c r="E17" s="25" t="s">
        <v>24</v>
      </c>
      <c r="F17" s="26"/>
      <c r="G17" s="27" t="str">
        <f aca="false">IF(F17="A",4,IF(F17="B",3,IF(F17="C",2,IF(F17="D",1,""))))</f>
        <v/>
      </c>
      <c r="H17" s="28"/>
      <c r="I17" s="28"/>
      <c r="J17" s="28"/>
      <c r="K17" s="28"/>
      <c r="L17" s="28"/>
      <c r="M17" s="28"/>
    </row>
    <row r="18" customFormat="false" ht="48" hidden="false" customHeight="true" outlineLevel="0" collapsed="false">
      <c r="A18" s="21" t="s">
        <v>96</v>
      </c>
      <c r="B18" s="22" t="s">
        <v>90</v>
      </c>
      <c r="C18" s="23" t="s">
        <v>97</v>
      </c>
      <c r="D18" s="29" t="s">
        <v>67</v>
      </c>
      <c r="E18" s="30" t="s">
        <v>26</v>
      </c>
      <c r="F18" s="26"/>
      <c r="G18" s="27" t="str">
        <f aca="false">IF(F18="A",4,IF(F18="B",3,IF(F18="C",2,IF(F18="D",1,""))))</f>
        <v/>
      </c>
      <c r="H18" s="28"/>
      <c r="I18" s="28"/>
      <c r="J18" s="28"/>
      <c r="K18" s="28"/>
      <c r="L18" s="28"/>
      <c r="M18" s="28"/>
    </row>
    <row r="19" customFormat="false" ht="48" hidden="false" customHeight="true" outlineLevel="0" collapsed="false">
      <c r="A19" s="21" t="s">
        <v>98</v>
      </c>
      <c r="B19" s="22" t="s">
        <v>90</v>
      </c>
      <c r="C19" s="23" t="s">
        <v>99</v>
      </c>
      <c r="D19" s="29" t="s">
        <v>67</v>
      </c>
      <c r="E19" s="25" t="s">
        <v>24</v>
      </c>
      <c r="F19" s="26"/>
      <c r="G19" s="27" t="str">
        <f aca="false">IF(F19="A",4,IF(F19="B",3,IF(F19="C",2,IF(F19="D",1,""))))</f>
        <v/>
      </c>
      <c r="H19" s="28"/>
      <c r="I19" s="28"/>
      <c r="J19" s="28"/>
      <c r="K19" s="28"/>
      <c r="L19" s="28"/>
      <c r="M19" s="28"/>
    </row>
    <row r="20" customFormat="false" ht="48" hidden="false" customHeight="true" outlineLevel="0" collapsed="false">
      <c r="A20" s="21" t="s">
        <v>100</v>
      </c>
      <c r="B20" s="22" t="s">
        <v>90</v>
      </c>
      <c r="C20" s="23" t="s">
        <v>101</v>
      </c>
      <c r="D20" s="29" t="s">
        <v>67</v>
      </c>
      <c r="E20" s="25" t="s">
        <v>24</v>
      </c>
      <c r="F20" s="26"/>
      <c r="G20" s="27" t="str">
        <f aca="false">IF(F20="A",4,IF(F20="B",3,IF(F20="C",2,IF(F20="D",1,""))))</f>
        <v/>
      </c>
      <c r="H20" s="28"/>
      <c r="I20" s="28"/>
      <c r="J20" s="28"/>
      <c r="K20" s="28"/>
      <c r="L20" s="28"/>
      <c r="M20" s="28"/>
    </row>
    <row r="21" customFormat="false" ht="48" hidden="false" customHeight="true" outlineLevel="0" collapsed="false">
      <c r="A21" s="21" t="s">
        <v>102</v>
      </c>
      <c r="B21" s="22" t="s">
        <v>90</v>
      </c>
      <c r="C21" s="23" t="s">
        <v>103</v>
      </c>
      <c r="D21" s="29" t="s">
        <v>67</v>
      </c>
      <c r="E21" s="25" t="s">
        <v>24</v>
      </c>
      <c r="F21" s="26"/>
      <c r="G21" s="27" t="str">
        <f aca="false">IF(F21="A",4,IF(F21="B",3,IF(F21="C",2,IF(F21="D",1,""))))</f>
        <v/>
      </c>
      <c r="H21" s="28"/>
      <c r="I21" s="28"/>
      <c r="J21" s="28"/>
      <c r="K21" s="28"/>
      <c r="L21" s="28"/>
      <c r="M21" s="28"/>
    </row>
    <row r="22" customFormat="false" ht="48" hidden="false" customHeight="true" outlineLevel="0" collapsed="false">
      <c r="A22" s="21" t="s">
        <v>104</v>
      </c>
      <c r="B22" s="22" t="s">
        <v>90</v>
      </c>
      <c r="C22" s="23" t="s">
        <v>105</v>
      </c>
      <c r="D22" s="24" t="s">
        <v>106</v>
      </c>
      <c r="E22" s="25" t="s">
        <v>24</v>
      </c>
      <c r="F22" s="26"/>
      <c r="G22" s="27" t="str">
        <f aca="false">IF(F22="A",4,IF(F22="B",3,IF(F22="C",2,IF(F22="D",1,""))))</f>
        <v/>
      </c>
      <c r="H22" s="28"/>
      <c r="I22" s="28"/>
      <c r="J22" s="28"/>
      <c r="K22" s="28"/>
      <c r="L22" s="28"/>
      <c r="M22" s="28"/>
    </row>
    <row r="23" customFormat="false" ht="48" hidden="false" customHeight="true" outlineLevel="0" collapsed="false">
      <c r="A23" s="21" t="s">
        <v>107</v>
      </c>
      <c r="B23" s="22" t="s">
        <v>108</v>
      </c>
      <c r="C23" s="23" t="s">
        <v>109</v>
      </c>
      <c r="D23" s="24" t="s">
        <v>70</v>
      </c>
      <c r="E23" s="25" t="s">
        <v>24</v>
      </c>
      <c r="F23" s="26"/>
      <c r="G23" s="27" t="str">
        <f aca="false">IF(F23="A",4,IF(F23="B",3,IF(F23="C",2,IF(F23="D",1,""))))</f>
        <v/>
      </c>
      <c r="H23" s="28"/>
      <c r="I23" s="28"/>
      <c r="J23" s="28"/>
      <c r="K23" s="28"/>
      <c r="L23" s="28"/>
      <c r="M23" s="28"/>
    </row>
    <row r="24" customFormat="false" ht="48" hidden="false" customHeight="true" outlineLevel="0" collapsed="false">
      <c r="A24" s="21" t="s">
        <v>110</v>
      </c>
      <c r="B24" s="22" t="s">
        <v>108</v>
      </c>
      <c r="C24" s="23" t="s">
        <v>111</v>
      </c>
      <c r="D24" s="29" t="s">
        <v>67</v>
      </c>
      <c r="E24" s="25" t="s">
        <v>24</v>
      </c>
      <c r="F24" s="26"/>
      <c r="G24" s="27" t="str">
        <f aca="false">IF(F24="A",4,IF(F24="B",3,IF(F24="C",2,IF(F24="D",1,""))))</f>
        <v/>
      </c>
      <c r="H24" s="28"/>
      <c r="I24" s="28"/>
      <c r="J24" s="28"/>
      <c r="K24" s="28"/>
      <c r="L24" s="28"/>
      <c r="M24" s="28"/>
    </row>
    <row r="25" customFormat="false" ht="48" hidden="false" customHeight="true" outlineLevel="0" collapsed="false">
      <c r="A25" s="21" t="s">
        <v>112</v>
      </c>
      <c r="B25" s="22" t="s">
        <v>108</v>
      </c>
      <c r="C25" s="23" t="s">
        <v>113</v>
      </c>
      <c r="D25" s="24" t="s">
        <v>73</v>
      </c>
      <c r="E25" s="30" t="s">
        <v>26</v>
      </c>
      <c r="F25" s="26"/>
      <c r="G25" s="27" t="str">
        <f aca="false">IF(F25="A",4,IF(F25="B",3,IF(F25="C",2,IF(F25="D",1,""))))</f>
        <v/>
      </c>
      <c r="H25" s="28"/>
      <c r="I25" s="28"/>
      <c r="J25" s="28"/>
      <c r="K25" s="28"/>
      <c r="L25" s="28"/>
      <c r="M25" s="28"/>
    </row>
    <row r="26" customFormat="false" ht="48" hidden="false" customHeight="true" outlineLevel="0" collapsed="false">
      <c r="A26" s="21" t="s">
        <v>114</v>
      </c>
      <c r="B26" s="22" t="s">
        <v>108</v>
      </c>
      <c r="C26" s="23" t="s">
        <v>115</v>
      </c>
      <c r="D26" s="24" t="s">
        <v>64</v>
      </c>
      <c r="E26" s="25" t="s">
        <v>24</v>
      </c>
      <c r="F26" s="26"/>
      <c r="G26" s="27" t="str">
        <f aca="false">IF(F26="A",4,IF(F26="B",3,IF(F26="C",2,IF(F26="D",1,""))))</f>
        <v/>
      </c>
      <c r="H26" s="28"/>
      <c r="I26" s="28"/>
      <c r="J26" s="28"/>
      <c r="K26" s="28"/>
      <c r="L26" s="28"/>
      <c r="M26" s="28"/>
    </row>
    <row r="27" customFormat="false" ht="48" hidden="false" customHeight="true" outlineLevel="0" collapsed="false">
      <c r="A27" s="21" t="s">
        <v>116</v>
      </c>
      <c r="B27" s="22" t="s">
        <v>108</v>
      </c>
      <c r="C27" s="23" t="s">
        <v>117</v>
      </c>
      <c r="D27" s="29" t="s">
        <v>67</v>
      </c>
      <c r="E27" s="25" t="s">
        <v>24</v>
      </c>
      <c r="F27" s="26"/>
      <c r="G27" s="27" t="str">
        <f aca="false">IF(F27="A",4,IF(F27="B",3,IF(F27="C",2,IF(F27="D",1,""))))</f>
        <v/>
      </c>
      <c r="H27" s="28"/>
      <c r="I27" s="28"/>
      <c r="J27" s="28"/>
      <c r="K27" s="28"/>
      <c r="L27" s="28"/>
      <c r="M27" s="28"/>
    </row>
    <row r="28" customFormat="false" ht="48" hidden="false" customHeight="true" outlineLevel="0" collapsed="false">
      <c r="A28" s="21" t="s">
        <v>118</v>
      </c>
      <c r="B28" s="22" t="s">
        <v>108</v>
      </c>
      <c r="C28" s="23" t="s">
        <v>119</v>
      </c>
      <c r="D28" s="31" t="s">
        <v>88</v>
      </c>
      <c r="E28" s="32" t="s">
        <v>28</v>
      </c>
      <c r="F28" s="26"/>
      <c r="G28" s="27" t="str">
        <f aca="false">IF(F28="A",4,IF(F28="B",3,IF(F28="C",2,IF(F28="D",1,""))))</f>
        <v/>
      </c>
      <c r="H28" s="28"/>
      <c r="I28" s="28"/>
      <c r="J28" s="28"/>
      <c r="K28" s="28"/>
      <c r="L28" s="28"/>
      <c r="M28" s="28"/>
    </row>
    <row r="29" customFormat="false" ht="48" hidden="false" customHeight="true" outlineLevel="0" collapsed="false">
      <c r="A29" s="21" t="s">
        <v>120</v>
      </c>
      <c r="B29" s="22" t="s">
        <v>108</v>
      </c>
      <c r="C29" s="23" t="s">
        <v>121</v>
      </c>
      <c r="D29" s="29" t="s">
        <v>67</v>
      </c>
      <c r="E29" s="25" t="s">
        <v>24</v>
      </c>
      <c r="F29" s="26"/>
      <c r="G29" s="27" t="str">
        <f aca="false">IF(F29="A",4,IF(F29="B",3,IF(F29="C",2,IF(F29="D",1,""))))</f>
        <v/>
      </c>
      <c r="H29" s="28"/>
      <c r="I29" s="28"/>
      <c r="J29" s="28"/>
      <c r="K29" s="28"/>
      <c r="L29" s="28"/>
      <c r="M29" s="28"/>
    </row>
    <row r="30" customFormat="false" ht="48" hidden="false" customHeight="true" outlineLevel="0" collapsed="false">
      <c r="A30" s="21" t="s">
        <v>122</v>
      </c>
      <c r="B30" s="22" t="s">
        <v>123</v>
      </c>
      <c r="C30" s="23" t="s">
        <v>124</v>
      </c>
      <c r="D30" s="29" t="s">
        <v>67</v>
      </c>
      <c r="E30" s="25" t="s">
        <v>24</v>
      </c>
      <c r="F30" s="26"/>
      <c r="G30" s="27" t="str">
        <f aca="false">IF(F30="A",4,IF(F30="B",3,IF(F30="C",2,IF(F30="D",1,""))))</f>
        <v/>
      </c>
      <c r="H30" s="28"/>
      <c r="I30" s="28"/>
      <c r="J30" s="28"/>
      <c r="K30" s="28"/>
      <c r="L30" s="28"/>
      <c r="M30" s="28"/>
    </row>
    <row r="31" customFormat="false" ht="48" hidden="false" customHeight="true" outlineLevel="0" collapsed="false">
      <c r="A31" s="21" t="s">
        <v>125</v>
      </c>
      <c r="B31" s="22" t="s">
        <v>123</v>
      </c>
      <c r="C31" s="23" t="s">
        <v>126</v>
      </c>
      <c r="D31" s="29" t="s">
        <v>67</v>
      </c>
      <c r="E31" s="25" t="s">
        <v>24</v>
      </c>
      <c r="F31" s="26"/>
      <c r="G31" s="27" t="str">
        <f aca="false">IF(F31="A",4,IF(F31="B",3,IF(F31="C",2,IF(F31="D",1,""))))</f>
        <v/>
      </c>
      <c r="H31" s="28"/>
      <c r="I31" s="28"/>
      <c r="J31" s="28"/>
      <c r="K31" s="28"/>
      <c r="L31" s="28"/>
      <c r="M31" s="28"/>
    </row>
    <row r="32" customFormat="false" ht="48" hidden="false" customHeight="true" outlineLevel="0" collapsed="false">
      <c r="A32" s="21" t="s">
        <v>127</v>
      </c>
      <c r="B32" s="22" t="s">
        <v>123</v>
      </c>
      <c r="C32" s="23" t="s">
        <v>128</v>
      </c>
      <c r="D32" s="24" t="s">
        <v>64</v>
      </c>
      <c r="E32" s="25" t="s">
        <v>24</v>
      </c>
      <c r="F32" s="26"/>
      <c r="G32" s="27" t="str">
        <f aca="false">IF(F32="A",4,IF(F32="B",3,IF(F32="C",2,IF(F32="D",1,""))))</f>
        <v/>
      </c>
      <c r="H32" s="28"/>
      <c r="I32" s="28"/>
      <c r="J32" s="28"/>
      <c r="K32" s="28"/>
      <c r="L32" s="28"/>
      <c r="M32" s="28"/>
    </row>
    <row r="33" customFormat="false" ht="48" hidden="false" customHeight="true" outlineLevel="0" collapsed="false">
      <c r="A33" s="21" t="s">
        <v>129</v>
      </c>
      <c r="B33" s="22" t="s">
        <v>123</v>
      </c>
      <c r="C33" s="23" t="s">
        <v>130</v>
      </c>
      <c r="D33" s="29" t="s">
        <v>67</v>
      </c>
      <c r="E33" s="25" t="s">
        <v>24</v>
      </c>
      <c r="F33" s="26"/>
      <c r="G33" s="27" t="str">
        <f aca="false">IF(F33="A",4,IF(F33="B",3,IF(F33="C",2,IF(F33="D",1,""))))</f>
        <v/>
      </c>
      <c r="H33" s="28"/>
      <c r="I33" s="28"/>
      <c r="J33" s="28"/>
      <c r="K33" s="28"/>
      <c r="L33" s="28"/>
      <c r="M33" s="28"/>
    </row>
    <row r="34" customFormat="false" ht="48" hidden="false" customHeight="true" outlineLevel="0" collapsed="false">
      <c r="A34" s="21" t="s">
        <v>131</v>
      </c>
      <c r="B34" s="22" t="s">
        <v>123</v>
      </c>
      <c r="C34" s="23" t="s">
        <v>132</v>
      </c>
      <c r="D34" s="29" t="s">
        <v>67</v>
      </c>
      <c r="E34" s="25" t="s">
        <v>24</v>
      </c>
      <c r="F34" s="26"/>
      <c r="G34" s="27" t="str">
        <f aca="false">IF(F34="A",4,IF(F34="B",3,IF(F34="C",2,IF(F34="D",1,""))))</f>
        <v/>
      </c>
      <c r="H34" s="28"/>
      <c r="I34" s="28"/>
      <c r="J34" s="28"/>
      <c r="K34" s="28"/>
      <c r="L34" s="28"/>
      <c r="M34" s="28"/>
    </row>
    <row r="35" customFormat="false" ht="48" hidden="false" customHeight="true" outlineLevel="0" collapsed="false">
      <c r="A35" s="21" t="s">
        <v>133</v>
      </c>
      <c r="B35" s="22" t="s">
        <v>134</v>
      </c>
      <c r="C35" s="23" t="s">
        <v>135</v>
      </c>
      <c r="D35" s="29" t="s">
        <v>67</v>
      </c>
      <c r="E35" s="25" t="s">
        <v>24</v>
      </c>
      <c r="F35" s="26"/>
      <c r="G35" s="27" t="str">
        <f aca="false">IF(F35="A",4,IF(F35="B",3,IF(F35="C",2,IF(F35="D",1,""))))</f>
        <v/>
      </c>
      <c r="H35" s="28"/>
      <c r="I35" s="28"/>
      <c r="J35" s="28"/>
      <c r="K35" s="28"/>
      <c r="L35" s="28"/>
      <c r="M35" s="28"/>
    </row>
    <row r="36" customFormat="false" ht="48" hidden="false" customHeight="true" outlineLevel="0" collapsed="false">
      <c r="A36" s="21" t="s">
        <v>136</v>
      </c>
      <c r="B36" s="22" t="s">
        <v>134</v>
      </c>
      <c r="C36" s="23" t="s">
        <v>137</v>
      </c>
      <c r="D36" s="29" t="s">
        <v>67</v>
      </c>
      <c r="E36" s="25" t="s">
        <v>24</v>
      </c>
      <c r="F36" s="26"/>
      <c r="G36" s="27" t="str">
        <f aca="false">IF(F36="A",4,IF(F36="B",3,IF(F36="C",2,IF(F36="D",1,""))))</f>
        <v/>
      </c>
      <c r="H36" s="28"/>
      <c r="I36" s="28"/>
      <c r="J36" s="28"/>
      <c r="K36" s="28"/>
      <c r="L36" s="28"/>
      <c r="M36" s="28"/>
    </row>
    <row r="37" customFormat="false" ht="48" hidden="false" customHeight="true" outlineLevel="0" collapsed="false">
      <c r="A37" s="21" t="s">
        <v>138</v>
      </c>
      <c r="B37" s="22" t="s">
        <v>134</v>
      </c>
      <c r="C37" s="23" t="s">
        <v>139</v>
      </c>
      <c r="D37" s="29" t="s">
        <v>67</v>
      </c>
      <c r="E37" s="30" t="s">
        <v>26</v>
      </c>
      <c r="F37" s="26"/>
      <c r="G37" s="27" t="str">
        <f aca="false">IF(F37="A",4,IF(F37="B",3,IF(F37="C",2,IF(F37="D",1,""))))</f>
        <v/>
      </c>
      <c r="H37" s="28"/>
      <c r="I37" s="28"/>
      <c r="J37" s="28"/>
      <c r="K37" s="28"/>
      <c r="L37" s="28"/>
      <c r="M37" s="28"/>
    </row>
    <row r="38" customFormat="false" ht="48" hidden="false" customHeight="true" outlineLevel="0" collapsed="false">
      <c r="A38" s="21" t="s">
        <v>140</v>
      </c>
      <c r="B38" s="22" t="s">
        <v>134</v>
      </c>
      <c r="C38" s="23" t="s">
        <v>141</v>
      </c>
      <c r="D38" s="29" t="s">
        <v>67</v>
      </c>
      <c r="E38" s="30" t="s">
        <v>26</v>
      </c>
      <c r="F38" s="26"/>
      <c r="G38" s="27" t="str">
        <f aca="false">IF(F38="A",4,IF(F38="B",3,IF(F38="C",2,IF(F38="D",1,""))))</f>
        <v/>
      </c>
      <c r="H38" s="28"/>
      <c r="I38" s="28"/>
      <c r="J38" s="28"/>
      <c r="K38" s="28"/>
      <c r="L38" s="28"/>
      <c r="M38" s="28"/>
    </row>
    <row r="39" customFormat="false" ht="48" hidden="false" customHeight="true" outlineLevel="0" collapsed="false">
      <c r="A39" s="21" t="s">
        <v>142</v>
      </c>
      <c r="B39" s="22" t="s">
        <v>134</v>
      </c>
      <c r="C39" s="23" t="s">
        <v>143</v>
      </c>
      <c r="D39" s="29" t="s">
        <v>67</v>
      </c>
      <c r="E39" s="30" t="s">
        <v>26</v>
      </c>
      <c r="F39" s="26"/>
      <c r="G39" s="27" t="str">
        <f aca="false">IF(F39="A",4,IF(F39="B",3,IF(F39="C",2,IF(F39="D",1,""))))</f>
        <v/>
      </c>
      <c r="H39" s="28"/>
      <c r="I39" s="28"/>
      <c r="J39" s="28"/>
      <c r="K39" s="28"/>
      <c r="L39" s="28"/>
      <c r="M39" s="28"/>
    </row>
    <row r="40" customFormat="false" ht="48" hidden="false" customHeight="true" outlineLevel="0" collapsed="false">
      <c r="A40" s="21" t="s">
        <v>144</v>
      </c>
      <c r="B40" s="22" t="s">
        <v>134</v>
      </c>
      <c r="C40" s="23" t="s">
        <v>145</v>
      </c>
      <c r="D40" s="29" t="s">
        <v>67</v>
      </c>
      <c r="E40" s="30" t="s">
        <v>26</v>
      </c>
      <c r="F40" s="26"/>
      <c r="G40" s="27" t="str">
        <f aca="false">IF(F40="A",4,IF(F40="B",3,IF(F40="C",2,IF(F40="D",1,""))))</f>
        <v/>
      </c>
      <c r="H40" s="28"/>
      <c r="I40" s="28"/>
      <c r="J40" s="28"/>
      <c r="K40" s="28"/>
      <c r="L40" s="28"/>
      <c r="M40" s="28"/>
    </row>
    <row r="41" customFormat="false" ht="48" hidden="false" customHeight="true" outlineLevel="0" collapsed="false">
      <c r="A41" s="21" t="s">
        <v>146</v>
      </c>
      <c r="B41" s="22" t="s">
        <v>134</v>
      </c>
      <c r="C41" s="23" t="s">
        <v>147</v>
      </c>
      <c r="D41" s="29" t="s">
        <v>67</v>
      </c>
      <c r="E41" s="25" t="s">
        <v>24</v>
      </c>
      <c r="F41" s="26"/>
      <c r="G41" s="27" t="str">
        <f aca="false">IF(F41="A",4,IF(F41="B",3,IF(F41="C",2,IF(F41="D",1,""))))</f>
        <v/>
      </c>
      <c r="H41" s="28"/>
      <c r="I41" s="28"/>
      <c r="J41" s="28"/>
      <c r="K41" s="28"/>
      <c r="L41" s="28"/>
      <c r="M41" s="28"/>
    </row>
    <row r="42" customFormat="false" ht="48" hidden="false" customHeight="true" outlineLevel="0" collapsed="false">
      <c r="A42" s="21" t="s">
        <v>148</v>
      </c>
      <c r="B42" s="22" t="s">
        <v>134</v>
      </c>
      <c r="C42" s="23" t="s">
        <v>149</v>
      </c>
      <c r="D42" s="29" t="s">
        <v>67</v>
      </c>
      <c r="E42" s="30" t="s">
        <v>26</v>
      </c>
      <c r="F42" s="26"/>
      <c r="G42" s="27" t="str">
        <f aca="false">IF(F42="A",4,IF(F42="B",3,IF(F42="C",2,IF(F42="D",1,""))))</f>
        <v/>
      </c>
      <c r="H42" s="28"/>
      <c r="I42" s="28"/>
      <c r="J42" s="28"/>
      <c r="K42" s="28"/>
      <c r="L42" s="28"/>
      <c r="M42" s="28"/>
    </row>
    <row r="43" customFormat="false" ht="48" hidden="false" customHeight="true" outlineLevel="0" collapsed="false">
      <c r="A43" s="21" t="s">
        <v>150</v>
      </c>
      <c r="B43" s="22" t="s">
        <v>134</v>
      </c>
      <c r="C43" s="23" t="s">
        <v>151</v>
      </c>
      <c r="D43" s="24" t="s">
        <v>64</v>
      </c>
      <c r="E43" s="25" t="s">
        <v>24</v>
      </c>
      <c r="F43" s="26"/>
      <c r="G43" s="27" t="str">
        <f aca="false">IF(F43="A",4,IF(F43="B",3,IF(F43="C",2,IF(F43="D",1,""))))</f>
        <v/>
      </c>
      <c r="H43" s="28"/>
      <c r="I43" s="28"/>
      <c r="J43" s="28"/>
      <c r="K43" s="28"/>
      <c r="L43" s="28"/>
      <c r="M43" s="28"/>
    </row>
    <row r="44" customFormat="false" ht="48" hidden="false" customHeight="true" outlineLevel="0" collapsed="false">
      <c r="A44" s="21" t="s">
        <v>152</v>
      </c>
      <c r="B44" s="22" t="s">
        <v>153</v>
      </c>
      <c r="C44" s="23" t="s">
        <v>154</v>
      </c>
      <c r="D44" s="29" t="s">
        <v>67</v>
      </c>
      <c r="E44" s="25" t="s">
        <v>24</v>
      </c>
      <c r="F44" s="26"/>
      <c r="G44" s="27" t="str">
        <f aca="false">IF(F44="A",4,IF(F44="B",3,IF(F44="C",2,IF(F44="D",1,""))))</f>
        <v/>
      </c>
      <c r="H44" s="28"/>
      <c r="I44" s="28"/>
      <c r="J44" s="28"/>
      <c r="K44" s="28"/>
      <c r="L44" s="28"/>
      <c r="M44" s="28"/>
    </row>
    <row r="45" customFormat="false" ht="48" hidden="false" customHeight="true" outlineLevel="0" collapsed="false">
      <c r="A45" s="21" t="s">
        <v>155</v>
      </c>
      <c r="B45" s="22" t="s">
        <v>153</v>
      </c>
      <c r="C45" s="23" t="s">
        <v>156</v>
      </c>
      <c r="D45" s="24" t="s">
        <v>64</v>
      </c>
      <c r="E45" s="25" t="s">
        <v>24</v>
      </c>
      <c r="F45" s="26"/>
      <c r="G45" s="27" t="str">
        <f aca="false">IF(F45="A",4,IF(F45="B",3,IF(F45="C",2,IF(F45="D",1,""))))</f>
        <v/>
      </c>
      <c r="H45" s="28"/>
      <c r="I45" s="28"/>
      <c r="J45" s="28"/>
      <c r="K45" s="28"/>
      <c r="L45" s="28"/>
      <c r="M45" s="28"/>
    </row>
    <row r="46" customFormat="false" ht="48" hidden="false" customHeight="true" outlineLevel="0" collapsed="false">
      <c r="A46" s="21" t="s">
        <v>157</v>
      </c>
      <c r="B46" s="22" t="s">
        <v>153</v>
      </c>
      <c r="C46" s="23" t="s">
        <v>158</v>
      </c>
      <c r="D46" s="24" t="s">
        <v>73</v>
      </c>
      <c r="E46" s="30" t="s">
        <v>26</v>
      </c>
      <c r="F46" s="26"/>
      <c r="G46" s="27" t="str">
        <f aca="false">IF(F46="A",4,IF(F46="B",3,IF(F46="C",2,IF(F46="D",1,""))))</f>
        <v/>
      </c>
      <c r="H46" s="28"/>
      <c r="I46" s="28"/>
      <c r="J46" s="28"/>
      <c r="K46" s="28"/>
      <c r="L46" s="28"/>
      <c r="M46" s="28"/>
    </row>
    <row r="47" customFormat="false" ht="48" hidden="false" customHeight="true" outlineLevel="0" collapsed="false">
      <c r="A47" s="21" t="s">
        <v>159</v>
      </c>
      <c r="B47" s="22" t="s">
        <v>153</v>
      </c>
      <c r="C47" s="23" t="s">
        <v>160</v>
      </c>
      <c r="D47" s="24" t="s">
        <v>161</v>
      </c>
      <c r="E47" s="32" t="s">
        <v>28</v>
      </c>
      <c r="F47" s="26"/>
      <c r="G47" s="27" t="str">
        <f aca="false">IF(F47="A",4,IF(F47="B",3,IF(F47="C",2,IF(F47="D",1,""))))</f>
        <v/>
      </c>
      <c r="H47" s="28"/>
      <c r="I47" s="28"/>
      <c r="J47" s="28"/>
      <c r="K47" s="28"/>
      <c r="L47" s="28"/>
      <c r="M47" s="28"/>
    </row>
    <row r="48" customFormat="false" ht="48" hidden="false" customHeight="true" outlineLevel="0" collapsed="false">
      <c r="A48" s="21" t="s">
        <v>162</v>
      </c>
      <c r="B48" s="22" t="s">
        <v>153</v>
      </c>
      <c r="C48" s="23" t="s">
        <v>163</v>
      </c>
      <c r="D48" s="29" t="s">
        <v>67</v>
      </c>
      <c r="E48" s="25" t="s">
        <v>24</v>
      </c>
      <c r="F48" s="26"/>
      <c r="G48" s="27" t="str">
        <f aca="false">IF(F48="A",4,IF(F48="B",3,IF(F48="C",2,IF(F48="D",1,""))))</f>
        <v/>
      </c>
      <c r="H48" s="28"/>
      <c r="I48" s="28"/>
      <c r="J48" s="28"/>
      <c r="K48" s="28"/>
      <c r="L48" s="28"/>
      <c r="M48" s="28"/>
    </row>
    <row r="49" customFormat="false" ht="48" hidden="false" customHeight="true" outlineLevel="0" collapsed="false">
      <c r="A49" s="21" t="s">
        <v>164</v>
      </c>
      <c r="B49" s="22" t="s">
        <v>165</v>
      </c>
      <c r="C49" s="23" t="s">
        <v>166</v>
      </c>
      <c r="D49" s="33" t="s">
        <v>167</v>
      </c>
      <c r="E49" s="25" t="s">
        <v>24</v>
      </c>
      <c r="F49" s="26"/>
      <c r="G49" s="27" t="str">
        <f aca="false">IF(F49="A",4,IF(F49="B",3,IF(F49="C",2,IF(F49="D",1,""))))</f>
        <v/>
      </c>
      <c r="H49" s="28"/>
      <c r="I49" s="28"/>
      <c r="J49" s="28"/>
      <c r="K49" s="28"/>
      <c r="L49" s="28"/>
      <c r="M49" s="28"/>
    </row>
    <row r="50" customFormat="false" ht="48" hidden="false" customHeight="true" outlineLevel="0" collapsed="false">
      <c r="A50" s="21" t="s">
        <v>168</v>
      </c>
      <c r="B50" s="22" t="s">
        <v>165</v>
      </c>
      <c r="C50" s="23" t="s">
        <v>169</v>
      </c>
      <c r="D50" s="33" t="s">
        <v>167</v>
      </c>
      <c r="E50" s="25" t="s">
        <v>24</v>
      </c>
      <c r="F50" s="26"/>
      <c r="G50" s="27" t="str">
        <f aca="false">IF(F50="A",4,IF(F50="B",3,IF(F50="C",2,IF(F50="D",1,""))))</f>
        <v/>
      </c>
      <c r="H50" s="28"/>
      <c r="I50" s="28"/>
      <c r="J50" s="28"/>
      <c r="K50" s="28"/>
      <c r="L50" s="28"/>
      <c r="M50" s="28"/>
    </row>
    <row r="51" customFormat="false" ht="48" hidden="false" customHeight="true" outlineLevel="0" collapsed="false">
      <c r="A51" s="21" t="s">
        <v>170</v>
      </c>
      <c r="B51" s="22" t="s">
        <v>165</v>
      </c>
      <c r="C51" s="23" t="s">
        <v>171</v>
      </c>
      <c r="D51" s="33" t="s">
        <v>167</v>
      </c>
      <c r="E51" s="25" t="s">
        <v>24</v>
      </c>
      <c r="F51" s="26"/>
      <c r="G51" s="27" t="str">
        <f aca="false">IF(F51="A",4,IF(F51="B",3,IF(F51="C",2,IF(F51="D",1,""))))</f>
        <v/>
      </c>
      <c r="H51" s="28"/>
      <c r="I51" s="28"/>
      <c r="J51" s="28"/>
      <c r="K51" s="28"/>
      <c r="L51" s="28"/>
      <c r="M51" s="28"/>
    </row>
    <row r="52" customFormat="false" ht="48" hidden="false" customHeight="true" outlineLevel="0" collapsed="false">
      <c r="A52" s="21" t="s">
        <v>172</v>
      </c>
      <c r="B52" s="22" t="s">
        <v>165</v>
      </c>
      <c r="C52" s="23" t="s">
        <v>173</v>
      </c>
      <c r="D52" s="33" t="s">
        <v>167</v>
      </c>
      <c r="E52" s="30" t="s">
        <v>26</v>
      </c>
      <c r="F52" s="26"/>
      <c r="G52" s="27" t="str">
        <f aca="false">IF(F52="A",4,IF(F52="B",3,IF(F52="C",2,IF(F52="D",1,""))))</f>
        <v/>
      </c>
      <c r="H52" s="28"/>
      <c r="I52" s="28"/>
      <c r="J52" s="28"/>
      <c r="K52" s="28"/>
      <c r="L52" s="28"/>
      <c r="M52" s="28"/>
    </row>
    <row r="53" customFormat="false" ht="48" hidden="false" customHeight="true" outlineLevel="0" collapsed="false">
      <c r="A53" s="21" t="s">
        <v>174</v>
      </c>
      <c r="B53" s="22" t="s">
        <v>165</v>
      </c>
      <c r="C53" s="23" t="s">
        <v>175</v>
      </c>
      <c r="D53" s="31" t="s">
        <v>88</v>
      </c>
      <c r="E53" s="32" t="s">
        <v>28</v>
      </c>
      <c r="F53" s="26"/>
      <c r="G53" s="27" t="str">
        <f aca="false">IF(F53="A",4,IF(F53="B",3,IF(F53="C",2,IF(F53="D",1,""))))</f>
        <v/>
      </c>
      <c r="H53" s="28"/>
      <c r="I53" s="28"/>
      <c r="J53" s="28"/>
      <c r="K53" s="28"/>
      <c r="L53" s="28"/>
      <c r="M53" s="28"/>
    </row>
    <row r="54" customFormat="false" ht="48" hidden="false" customHeight="true" outlineLevel="0" collapsed="false">
      <c r="A54" s="21" t="s">
        <v>176</v>
      </c>
      <c r="B54" s="22" t="s">
        <v>165</v>
      </c>
      <c r="C54" s="23" t="s">
        <v>177</v>
      </c>
      <c r="D54" s="33" t="s">
        <v>167</v>
      </c>
      <c r="E54" s="25" t="s">
        <v>24</v>
      </c>
      <c r="F54" s="26"/>
      <c r="G54" s="27" t="str">
        <f aca="false">IF(F54="A",4,IF(F54="B",3,IF(F54="C",2,IF(F54="D",1,""))))</f>
        <v/>
      </c>
      <c r="H54" s="28"/>
      <c r="I54" s="28"/>
      <c r="J54" s="28"/>
      <c r="K54" s="28"/>
      <c r="L54" s="28"/>
      <c r="M54" s="28"/>
    </row>
    <row r="55" customFormat="false" ht="48" hidden="false" customHeight="true" outlineLevel="0" collapsed="false">
      <c r="A55" s="21" t="s">
        <v>178</v>
      </c>
      <c r="B55" s="22" t="s">
        <v>165</v>
      </c>
      <c r="C55" s="23" t="s">
        <v>179</v>
      </c>
      <c r="D55" s="24" t="s">
        <v>180</v>
      </c>
      <c r="E55" s="30" t="s">
        <v>26</v>
      </c>
      <c r="F55" s="26"/>
      <c r="G55" s="27" t="str">
        <f aca="false">IF(F55="A",4,IF(F55="B",3,IF(F55="C",2,IF(F55="D",1,""))))</f>
        <v/>
      </c>
      <c r="H55" s="28"/>
      <c r="I55" s="28"/>
      <c r="J55" s="28"/>
      <c r="K55" s="28"/>
      <c r="L55" s="28"/>
      <c r="M55" s="28"/>
    </row>
    <row r="56" customFormat="false" ht="48" hidden="false" customHeight="true" outlineLevel="0" collapsed="false">
      <c r="A56" s="21" t="s">
        <v>181</v>
      </c>
      <c r="B56" s="22" t="s">
        <v>165</v>
      </c>
      <c r="C56" s="23" t="s">
        <v>182</v>
      </c>
      <c r="D56" s="33" t="s">
        <v>167</v>
      </c>
      <c r="E56" s="25" t="s">
        <v>24</v>
      </c>
      <c r="F56" s="26"/>
      <c r="G56" s="27" t="str">
        <f aca="false">IF(F56="A",4,IF(F56="B",3,IF(F56="C",2,IF(F56="D",1,""))))</f>
        <v/>
      </c>
      <c r="H56" s="28"/>
      <c r="I56" s="28"/>
      <c r="J56" s="28"/>
      <c r="K56" s="28"/>
      <c r="L56" s="28"/>
      <c r="M56" s="28"/>
    </row>
    <row r="57" customFormat="false" ht="48" hidden="false" customHeight="true" outlineLevel="0" collapsed="false">
      <c r="A57" s="21" t="s">
        <v>183</v>
      </c>
      <c r="B57" s="22" t="s">
        <v>184</v>
      </c>
      <c r="C57" s="23" t="s">
        <v>185</v>
      </c>
      <c r="D57" s="24" t="s">
        <v>161</v>
      </c>
      <c r="E57" s="25" t="s">
        <v>24</v>
      </c>
      <c r="F57" s="26"/>
      <c r="G57" s="27" t="str">
        <f aca="false">IF(F57="A",4,IF(F57="B",3,IF(F57="C",2,IF(F57="D",1,""))))</f>
        <v/>
      </c>
      <c r="H57" s="28"/>
      <c r="I57" s="28"/>
      <c r="J57" s="28"/>
      <c r="K57" s="28"/>
      <c r="L57" s="28"/>
      <c r="M57" s="28"/>
    </row>
    <row r="58" customFormat="false" ht="48" hidden="false" customHeight="true" outlineLevel="0" collapsed="false">
      <c r="A58" s="21" t="s">
        <v>186</v>
      </c>
      <c r="B58" s="22" t="s">
        <v>184</v>
      </c>
      <c r="C58" s="23" t="s">
        <v>187</v>
      </c>
      <c r="D58" s="24" t="s">
        <v>70</v>
      </c>
      <c r="E58" s="25" t="s">
        <v>24</v>
      </c>
      <c r="F58" s="26"/>
      <c r="G58" s="27" t="str">
        <f aca="false">IF(F58="A",4,IF(F58="B",3,IF(F58="C",2,IF(F58="D",1,""))))</f>
        <v/>
      </c>
      <c r="H58" s="28"/>
      <c r="I58" s="28"/>
      <c r="J58" s="28"/>
      <c r="K58" s="28"/>
      <c r="L58" s="28"/>
      <c r="M58" s="28"/>
    </row>
    <row r="59" customFormat="false" ht="48" hidden="false" customHeight="true" outlineLevel="0" collapsed="false">
      <c r="A59" s="21" t="s">
        <v>188</v>
      </c>
      <c r="B59" s="22" t="s">
        <v>184</v>
      </c>
      <c r="C59" s="23" t="s">
        <v>189</v>
      </c>
      <c r="D59" s="24" t="s">
        <v>70</v>
      </c>
      <c r="E59" s="30" t="s">
        <v>26</v>
      </c>
      <c r="F59" s="26"/>
      <c r="G59" s="27" t="str">
        <f aca="false">IF(F59="A",4,IF(F59="B",3,IF(F59="C",2,IF(F59="D",1,""))))</f>
        <v/>
      </c>
      <c r="H59" s="28"/>
      <c r="I59" s="28"/>
      <c r="J59" s="28"/>
      <c r="K59" s="28"/>
      <c r="L59" s="28"/>
      <c r="M59" s="28"/>
    </row>
    <row r="60" customFormat="false" ht="48" hidden="false" customHeight="true" outlineLevel="0" collapsed="false">
      <c r="A60" s="21" t="s">
        <v>190</v>
      </c>
      <c r="B60" s="22" t="s">
        <v>184</v>
      </c>
      <c r="C60" s="23" t="s">
        <v>191</v>
      </c>
      <c r="D60" s="31" t="s">
        <v>88</v>
      </c>
      <c r="E60" s="32" t="s">
        <v>28</v>
      </c>
      <c r="F60" s="26"/>
      <c r="G60" s="27" t="str">
        <f aca="false">IF(F60="A",4,IF(F60="B",3,IF(F60="C",2,IF(F60="D",1,""))))</f>
        <v/>
      </c>
      <c r="H60" s="28"/>
      <c r="I60" s="28"/>
      <c r="J60" s="28"/>
      <c r="K60" s="28"/>
      <c r="L60" s="28"/>
      <c r="M60" s="28"/>
    </row>
    <row r="61" customFormat="false" ht="48" hidden="false" customHeight="true" outlineLevel="0" collapsed="false">
      <c r="A61" s="21" t="s">
        <v>192</v>
      </c>
      <c r="B61" s="22" t="s">
        <v>184</v>
      </c>
      <c r="C61" s="23" t="s">
        <v>193</v>
      </c>
      <c r="D61" s="31" t="s">
        <v>88</v>
      </c>
      <c r="E61" s="32" t="s">
        <v>28</v>
      </c>
      <c r="F61" s="26"/>
      <c r="G61" s="27" t="str">
        <f aca="false">IF(F61="A",4,IF(F61="B",3,IF(F61="C",2,IF(F61="D",1,""))))</f>
        <v/>
      </c>
      <c r="H61" s="28"/>
      <c r="I61" s="28"/>
      <c r="J61" s="28"/>
      <c r="K61" s="28"/>
      <c r="L61" s="28"/>
      <c r="M61" s="28"/>
    </row>
    <row r="62" customFormat="false" ht="48" hidden="false" customHeight="true" outlineLevel="0" collapsed="false">
      <c r="A62" s="21" t="s">
        <v>194</v>
      </c>
      <c r="B62" s="22" t="s">
        <v>184</v>
      </c>
      <c r="C62" s="23" t="s">
        <v>195</v>
      </c>
      <c r="D62" s="29" t="s">
        <v>67</v>
      </c>
      <c r="E62" s="25" t="s">
        <v>24</v>
      </c>
      <c r="F62" s="26"/>
      <c r="G62" s="27" t="str">
        <f aca="false">IF(F62="A",4,IF(F62="B",3,IF(F62="C",2,IF(F62="D",1,""))))</f>
        <v/>
      </c>
      <c r="H62" s="28"/>
      <c r="I62" s="28"/>
      <c r="J62" s="28"/>
      <c r="K62" s="28"/>
      <c r="L62" s="28"/>
      <c r="M62" s="28"/>
    </row>
    <row r="63" customFormat="false" ht="48" hidden="false" customHeight="true" outlineLevel="0" collapsed="false">
      <c r="A63" s="21" t="s">
        <v>196</v>
      </c>
      <c r="B63" s="22" t="s">
        <v>184</v>
      </c>
      <c r="C63" s="23" t="s">
        <v>197</v>
      </c>
      <c r="D63" s="29" t="s">
        <v>67</v>
      </c>
      <c r="E63" s="30" t="s">
        <v>26</v>
      </c>
      <c r="F63" s="26"/>
      <c r="G63" s="27" t="str">
        <f aca="false">IF(F63="A",4,IF(F63="B",3,IF(F63="C",2,IF(F63="D",1,""))))</f>
        <v/>
      </c>
      <c r="H63" s="28"/>
      <c r="I63" s="28"/>
      <c r="J63" s="28"/>
      <c r="K63" s="28"/>
      <c r="L63" s="28"/>
      <c r="M63" s="28"/>
    </row>
    <row r="64" customFormat="false" ht="48" hidden="false" customHeight="true" outlineLevel="0" collapsed="false">
      <c r="A64" s="21" t="s">
        <v>198</v>
      </c>
      <c r="B64" s="22" t="s">
        <v>184</v>
      </c>
      <c r="C64" s="23" t="s">
        <v>199</v>
      </c>
      <c r="D64" s="24" t="s">
        <v>64</v>
      </c>
      <c r="E64" s="25" t="s">
        <v>24</v>
      </c>
      <c r="F64" s="26"/>
      <c r="G64" s="27" t="str">
        <f aca="false">IF(F64="A",4,IF(F64="B",3,IF(F64="C",2,IF(F64="D",1,""))))</f>
        <v/>
      </c>
      <c r="H64" s="28"/>
      <c r="I64" s="28"/>
      <c r="J64" s="28"/>
      <c r="K64" s="28"/>
      <c r="L64" s="28"/>
      <c r="M64" s="28"/>
    </row>
    <row r="65" customFormat="false" ht="48" hidden="false" customHeight="true" outlineLevel="0" collapsed="false">
      <c r="A65" s="21" t="s">
        <v>200</v>
      </c>
      <c r="B65" s="22" t="s">
        <v>184</v>
      </c>
      <c r="C65" s="23" t="s">
        <v>201</v>
      </c>
      <c r="D65" s="24" t="s">
        <v>73</v>
      </c>
      <c r="E65" s="25" t="s">
        <v>24</v>
      </c>
      <c r="F65" s="26"/>
      <c r="G65" s="27" t="str">
        <f aca="false">IF(F65="A",4,IF(F65="B",3,IF(F65="C",2,IF(F65="D",1,""))))</f>
        <v/>
      </c>
      <c r="H65" s="28"/>
      <c r="I65" s="28"/>
      <c r="J65" s="28"/>
      <c r="K65" s="28"/>
      <c r="L65" s="28"/>
      <c r="M65" s="28"/>
    </row>
    <row r="66" customFormat="false" ht="48" hidden="false" customHeight="true" outlineLevel="0" collapsed="false">
      <c r="A66" s="21" t="s">
        <v>202</v>
      </c>
      <c r="B66" s="22" t="s">
        <v>203</v>
      </c>
      <c r="C66" s="23" t="s">
        <v>204</v>
      </c>
      <c r="D66" s="24" t="s">
        <v>73</v>
      </c>
      <c r="E66" s="25" t="s">
        <v>24</v>
      </c>
      <c r="F66" s="26"/>
      <c r="G66" s="27" t="str">
        <f aca="false">IF(F66="A",4,IF(F66="B",3,IF(F66="C",2,IF(F66="D",1,""))))</f>
        <v/>
      </c>
      <c r="H66" s="28"/>
      <c r="I66" s="28"/>
      <c r="J66" s="28"/>
      <c r="K66" s="28"/>
      <c r="L66" s="28"/>
      <c r="M66" s="28"/>
    </row>
    <row r="67" customFormat="false" ht="48" hidden="false" customHeight="true" outlineLevel="0" collapsed="false">
      <c r="A67" s="21" t="s">
        <v>205</v>
      </c>
      <c r="B67" s="22" t="s">
        <v>203</v>
      </c>
      <c r="C67" s="23" t="s">
        <v>206</v>
      </c>
      <c r="D67" s="29" t="s">
        <v>67</v>
      </c>
      <c r="E67" s="30" t="s">
        <v>26</v>
      </c>
      <c r="F67" s="26"/>
      <c r="G67" s="27" t="str">
        <f aca="false">IF(F67="A",4,IF(F67="B",3,IF(F67="C",2,IF(F67="D",1,""))))</f>
        <v/>
      </c>
      <c r="H67" s="28"/>
      <c r="I67" s="28"/>
      <c r="J67" s="28"/>
      <c r="K67" s="28"/>
      <c r="L67" s="28"/>
      <c r="M67" s="28"/>
    </row>
    <row r="68" customFormat="false" ht="48" hidden="false" customHeight="true" outlineLevel="0" collapsed="false">
      <c r="A68" s="21" t="s">
        <v>207</v>
      </c>
      <c r="B68" s="22" t="s">
        <v>203</v>
      </c>
      <c r="C68" s="23" t="s">
        <v>208</v>
      </c>
      <c r="D68" s="24" t="s">
        <v>73</v>
      </c>
      <c r="E68" s="30" t="s">
        <v>26</v>
      </c>
      <c r="F68" s="26"/>
      <c r="G68" s="27" t="str">
        <f aca="false">IF(F68="A",4,IF(F68="B",3,IF(F68="C",2,IF(F68="D",1,""))))</f>
        <v/>
      </c>
      <c r="H68" s="28"/>
      <c r="I68" s="28"/>
      <c r="J68" s="28"/>
      <c r="K68" s="28"/>
      <c r="L68" s="28"/>
      <c r="M68" s="28"/>
    </row>
    <row r="69" customFormat="false" ht="48" hidden="false" customHeight="true" outlineLevel="0" collapsed="false">
      <c r="A69" s="21" t="s">
        <v>209</v>
      </c>
      <c r="B69" s="22" t="s">
        <v>203</v>
      </c>
      <c r="C69" s="23" t="s">
        <v>210</v>
      </c>
      <c r="D69" s="29" t="s">
        <v>67</v>
      </c>
      <c r="E69" s="25" t="s">
        <v>24</v>
      </c>
      <c r="F69" s="26"/>
      <c r="G69" s="27" t="str">
        <f aca="false">IF(F69="A",4,IF(F69="B",3,IF(F69="C",2,IF(F69="D",1,""))))</f>
        <v/>
      </c>
      <c r="H69" s="28"/>
      <c r="I69" s="28"/>
      <c r="J69" s="28"/>
      <c r="K69" s="28"/>
      <c r="L69" s="28"/>
      <c r="M69" s="28"/>
    </row>
    <row r="70" customFormat="false" ht="48" hidden="false" customHeight="true" outlineLevel="0" collapsed="false">
      <c r="A70" s="21" t="s">
        <v>211</v>
      </c>
      <c r="B70" s="22" t="s">
        <v>203</v>
      </c>
      <c r="C70" s="23" t="s">
        <v>212</v>
      </c>
      <c r="D70" s="29" t="s">
        <v>67</v>
      </c>
      <c r="E70" s="30" t="s">
        <v>26</v>
      </c>
      <c r="F70" s="26"/>
      <c r="G70" s="27" t="str">
        <f aca="false">IF(F70="A",4,IF(F70="B",3,IF(F70="C",2,IF(F70="D",1,""))))</f>
        <v/>
      </c>
      <c r="H70" s="28"/>
      <c r="I70" s="28"/>
      <c r="J70" s="28"/>
      <c r="K70" s="28"/>
      <c r="L70" s="28"/>
      <c r="M70" s="28"/>
    </row>
    <row r="71" customFormat="false" ht="48" hidden="false" customHeight="true" outlineLevel="0" collapsed="false">
      <c r="A71" s="21" t="s">
        <v>213</v>
      </c>
      <c r="B71" s="22" t="s">
        <v>203</v>
      </c>
      <c r="C71" s="23" t="s">
        <v>214</v>
      </c>
      <c r="D71" s="24" t="s">
        <v>180</v>
      </c>
      <c r="E71" s="25" t="s">
        <v>24</v>
      </c>
      <c r="F71" s="26"/>
      <c r="G71" s="27" t="str">
        <f aca="false">IF(F71="A",4,IF(F71="B",3,IF(F71="C",2,IF(F71="D",1,""))))</f>
        <v/>
      </c>
      <c r="H71" s="28"/>
      <c r="I71" s="28"/>
      <c r="J71" s="28"/>
      <c r="K71" s="28"/>
      <c r="L71" s="28"/>
      <c r="M71" s="28"/>
    </row>
    <row r="72" customFormat="false" ht="48" hidden="false" customHeight="true" outlineLevel="0" collapsed="false">
      <c r="A72" s="21" t="s">
        <v>215</v>
      </c>
      <c r="B72" s="22" t="s">
        <v>203</v>
      </c>
      <c r="C72" s="23" t="s">
        <v>216</v>
      </c>
      <c r="D72" s="29" t="s">
        <v>67</v>
      </c>
      <c r="E72" s="25" t="s">
        <v>24</v>
      </c>
      <c r="F72" s="26"/>
      <c r="G72" s="27" t="str">
        <f aca="false">IF(F72="A",4,IF(F72="B",3,IF(F72="C",2,IF(F72="D",1,""))))</f>
        <v/>
      </c>
      <c r="H72" s="28"/>
      <c r="I72" s="28"/>
      <c r="J72" s="28"/>
      <c r="K72" s="28"/>
      <c r="L72" s="28"/>
      <c r="M72" s="28"/>
    </row>
    <row r="73" customFormat="false" ht="48" hidden="false" customHeight="true" outlineLevel="0" collapsed="false">
      <c r="A73" s="21" t="s">
        <v>217</v>
      </c>
      <c r="B73" s="22" t="s">
        <v>203</v>
      </c>
      <c r="C73" s="23" t="s">
        <v>218</v>
      </c>
      <c r="D73" s="29" t="s">
        <v>67</v>
      </c>
      <c r="E73" s="25" t="s">
        <v>24</v>
      </c>
      <c r="F73" s="26"/>
      <c r="G73" s="27" t="str">
        <f aca="false">IF(F73="A",4,IF(F73="B",3,IF(F73="C",2,IF(F73="D",1,""))))</f>
        <v/>
      </c>
      <c r="H73" s="28"/>
      <c r="I73" s="28"/>
      <c r="J73" s="28"/>
      <c r="K73" s="28"/>
      <c r="L73" s="28"/>
      <c r="M73" s="28"/>
    </row>
    <row r="74" customFormat="false" ht="48" hidden="false" customHeight="true" outlineLevel="0" collapsed="false">
      <c r="A74" s="21" t="s">
        <v>219</v>
      </c>
      <c r="B74" s="22" t="s">
        <v>220</v>
      </c>
      <c r="C74" s="23" t="s">
        <v>221</v>
      </c>
      <c r="D74" s="31" t="s">
        <v>88</v>
      </c>
      <c r="E74" s="32" t="s">
        <v>28</v>
      </c>
      <c r="F74" s="26"/>
      <c r="G74" s="27" t="str">
        <f aca="false">IF(F74="A",4,IF(F74="B",3,IF(F74="C",2,IF(F74="D",1,""))))</f>
        <v/>
      </c>
      <c r="H74" s="28"/>
      <c r="I74" s="28"/>
      <c r="J74" s="28"/>
      <c r="K74" s="28"/>
      <c r="L74" s="28"/>
      <c r="M74" s="28"/>
    </row>
    <row r="75" customFormat="false" ht="48" hidden="false" customHeight="true" outlineLevel="0" collapsed="false">
      <c r="A75" s="21" t="s">
        <v>222</v>
      </c>
      <c r="B75" s="22" t="s">
        <v>220</v>
      </c>
      <c r="C75" s="23" t="s">
        <v>223</v>
      </c>
      <c r="D75" s="31" t="s">
        <v>88</v>
      </c>
      <c r="E75" s="32" t="s">
        <v>28</v>
      </c>
      <c r="F75" s="26"/>
      <c r="G75" s="27" t="str">
        <f aca="false">IF(F75="A",4,IF(F75="B",3,IF(F75="C",2,IF(F75="D",1,""))))</f>
        <v/>
      </c>
      <c r="H75" s="28"/>
      <c r="I75" s="28"/>
      <c r="J75" s="28"/>
      <c r="K75" s="28"/>
      <c r="L75" s="28"/>
      <c r="M75" s="28"/>
    </row>
    <row r="76" customFormat="false" ht="48" hidden="false" customHeight="true" outlineLevel="0" collapsed="false">
      <c r="A76" s="21" t="s">
        <v>224</v>
      </c>
      <c r="B76" s="22" t="s">
        <v>220</v>
      </c>
      <c r="C76" s="23" t="s">
        <v>225</v>
      </c>
      <c r="D76" s="31" t="s">
        <v>88</v>
      </c>
      <c r="E76" s="32" t="s">
        <v>28</v>
      </c>
      <c r="F76" s="26"/>
      <c r="G76" s="27" t="str">
        <f aca="false">IF(F76="A",4,IF(F76="B",3,IF(F76="C",2,IF(F76="D",1,""))))</f>
        <v/>
      </c>
      <c r="H76" s="28"/>
      <c r="I76" s="28"/>
      <c r="J76" s="28"/>
      <c r="K76" s="28"/>
      <c r="L76" s="28"/>
      <c r="M76" s="28"/>
    </row>
    <row r="77" customFormat="false" ht="48" hidden="false" customHeight="true" outlineLevel="0" collapsed="false">
      <c r="A77" s="21" t="s">
        <v>226</v>
      </c>
      <c r="B77" s="22" t="s">
        <v>220</v>
      </c>
      <c r="C77" s="23" t="s">
        <v>227</v>
      </c>
      <c r="D77" s="31" t="s">
        <v>88</v>
      </c>
      <c r="E77" s="32" t="s">
        <v>28</v>
      </c>
      <c r="F77" s="26"/>
      <c r="G77" s="27" t="str">
        <f aca="false">IF(F77="A",4,IF(F77="B",3,IF(F77="C",2,IF(F77="D",1,""))))</f>
        <v/>
      </c>
      <c r="H77" s="28"/>
      <c r="I77" s="28"/>
      <c r="J77" s="28"/>
      <c r="K77" s="28"/>
      <c r="L77" s="28"/>
      <c r="M77" s="28"/>
    </row>
    <row r="78" customFormat="false" ht="48" hidden="false" customHeight="true" outlineLevel="0" collapsed="false">
      <c r="A78" s="21" t="s">
        <v>228</v>
      </c>
      <c r="B78" s="22" t="s">
        <v>220</v>
      </c>
      <c r="C78" s="23" t="s">
        <v>229</v>
      </c>
      <c r="D78" s="31" t="s">
        <v>88</v>
      </c>
      <c r="E78" s="32" t="s">
        <v>28</v>
      </c>
      <c r="F78" s="26"/>
      <c r="G78" s="27" t="str">
        <f aca="false">IF(F78="A",4,IF(F78="B",3,IF(F78="C",2,IF(F78="D",1,""))))</f>
        <v/>
      </c>
      <c r="H78" s="28"/>
      <c r="I78" s="28"/>
      <c r="J78" s="28"/>
      <c r="K78" s="28"/>
      <c r="L78" s="28"/>
      <c r="M78" s="28"/>
    </row>
  </sheetData>
  <autoFilter ref="A3:M78"/>
  <mergeCells count="2">
    <mergeCell ref="A1:M1"/>
    <mergeCell ref="A2:M2"/>
  </mergeCells>
  <conditionalFormatting sqref="F4:F78">
    <cfRule type="expression" priority="2" aboveAverage="0" equalAverage="0" bottom="0" percent="0" rank="0" text="" dxfId="11">
      <formula>$F4="A"</formula>
    </cfRule>
    <cfRule type="expression" priority="3" aboveAverage="0" equalAverage="0" bottom="0" percent="0" rank="0" text="" dxfId="12">
      <formula>$F4="B"</formula>
    </cfRule>
    <cfRule type="expression" priority="4" aboveAverage="0" equalAverage="0" bottom="0" percent="0" rank="0" text="" dxfId="13">
      <formula>$F4="C"</formula>
    </cfRule>
    <cfRule type="expression" priority="5" aboveAverage="0" equalAverage="0" bottom="0" percent="0" rank="0" text="" dxfId="14">
      <formula>$F4="D"</formula>
    </cfRule>
    <cfRule type="expression" priority="6" aboveAverage="0" equalAverage="0" bottom="0" percent="0" rank="0" text="" dxfId="15">
      <formula>$F4="NA"</formula>
    </cfRule>
  </conditionalFormatting>
  <conditionalFormatting sqref="M4:M78">
    <cfRule type="expression" priority="7" aboveAverage="0" equalAverage="0" bottom="0" percent="0" rank="0" text="" dxfId="12">
      <formula>$M4="Réalisé"</formula>
    </cfRule>
    <cfRule type="expression" priority="8" aboveAverage="0" equalAverage="0" bottom="0" percent="0" rank="0" text="" dxfId="13">
      <formula>$M4="En cours"</formula>
    </cfRule>
    <cfRule type="expression" priority="9" aboveAverage="0" equalAverage="0" bottom="0" percent="0" rank="0" text="" dxfId="14">
      <formula>$M4="À lancer"</formula>
    </cfRule>
    <cfRule type="expression" priority="10" aboveAverage="0" equalAverage="0" bottom="0" percent="0" rank="0" text="" dxfId="16">
      <formula>$M4="Reporté"</formula>
    </cfRule>
  </conditionalFormatting>
  <dataValidations count="2">
    <dataValidation allowBlank="true" error="Choisir A, B, C, D ou NA" errorStyle="stop" errorTitle="Cotation invalide" operator="between" showDropDown="false" showErrorMessage="true" showInputMessage="false" sqref="F4:F78" type="list">
      <formula1>"A,B,C,D,NA"</formula1>
      <formula2>0</formula2>
    </dataValidation>
    <dataValidation allowBlank="true" errorStyle="stop" operator="between" showDropDown="false" showErrorMessage="false" showInputMessage="false" sqref="M4:M78" type="list">
      <formula1>"À lancer,En cours,Réalisé,Reporté,Sans objet"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45"/>
    <col collapsed="false" customWidth="true" hidden="false" outlineLevel="0" max="9" min="4" style="0" width="12"/>
    <col collapsed="false" customWidth="true" hidden="false" outlineLevel="0" max="10" min="10" style="0" width="14"/>
    <col collapsed="false" customWidth="true" hidden="false" outlineLevel="0" max="11" min="11" style="0" width="16"/>
  </cols>
  <sheetData>
    <row r="2" customFormat="false" ht="26.8" hidden="false" customHeight="false" outlineLevel="0" collapsed="false">
      <c r="B2" s="34" t="s">
        <v>230</v>
      </c>
      <c r="C2" s="34"/>
      <c r="D2" s="34"/>
      <c r="E2" s="34"/>
      <c r="F2" s="34"/>
      <c r="G2" s="34"/>
      <c r="H2" s="34"/>
      <c r="I2" s="34"/>
      <c r="J2" s="34"/>
      <c r="K2" s="34"/>
    </row>
    <row r="3" customFormat="false" ht="15" hidden="false" customHeight="false" outlineLevel="0" collapsed="false">
      <c r="B3" s="35" t="s">
        <v>231</v>
      </c>
      <c r="C3" s="35"/>
      <c r="D3" s="35"/>
      <c r="E3" s="35"/>
      <c r="F3" s="35"/>
      <c r="G3" s="35"/>
      <c r="H3" s="35"/>
      <c r="I3" s="35"/>
      <c r="J3" s="35"/>
      <c r="K3" s="35"/>
    </row>
    <row r="5" customFormat="false" ht="21.75" hidden="false" customHeight="true" outlineLevel="0" collapsed="false">
      <c r="B5" s="4" t="s">
        <v>232</v>
      </c>
      <c r="C5" s="4"/>
      <c r="D5" s="4"/>
      <c r="E5" s="4"/>
      <c r="F5" s="4"/>
      <c r="G5" s="4"/>
      <c r="H5" s="4"/>
      <c r="I5" s="4"/>
      <c r="J5" s="4"/>
      <c r="K5" s="4"/>
    </row>
    <row r="7" customFormat="false" ht="24" hidden="false" customHeight="true" outlineLevel="0" collapsed="false">
      <c r="B7" s="36" t="s">
        <v>233</v>
      </c>
      <c r="C7" s="36"/>
      <c r="D7" s="36"/>
      <c r="E7" s="36"/>
      <c r="F7" s="36"/>
      <c r="G7" s="36"/>
      <c r="H7" s="36"/>
      <c r="I7" s="37" t="n">
        <f aca="false">COUNTA('Grille d''évaluation'!$A$4:$A$78)</f>
        <v>75</v>
      </c>
      <c r="J7" s="37"/>
      <c r="K7" s="37"/>
    </row>
    <row r="8" customFormat="false" ht="24" hidden="false" customHeight="true" outlineLevel="0" collapsed="false">
      <c r="B8" s="36" t="s">
        <v>234</v>
      </c>
      <c r="C8" s="36"/>
      <c r="D8" s="36"/>
      <c r="E8" s="36"/>
      <c r="F8" s="36"/>
      <c r="G8" s="36"/>
      <c r="H8" s="36"/>
      <c r="I8" s="38" t="n">
        <f aca="false">COUNTA('Grille d''évaluation'!$F$4:$F$78)</f>
        <v>0</v>
      </c>
      <c r="J8" s="38"/>
      <c r="K8" s="38"/>
    </row>
    <row r="9" customFormat="false" ht="24" hidden="false" customHeight="true" outlineLevel="0" collapsed="false">
      <c r="B9" s="36" t="s">
        <v>235</v>
      </c>
      <c r="C9" s="36"/>
      <c r="D9" s="36"/>
      <c r="E9" s="36"/>
      <c r="F9" s="36"/>
      <c r="G9" s="36"/>
      <c r="H9" s="36"/>
      <c r="I9" s="39" t="n">
        <f aca="false">IFERROR(COUNTA('Grille d''évaluation'!$F$4:$F$78)/COUNTA('Grille d''évaluation'!$A$4:$A$78),0)</f>
        <v>0</v>
      </c>
      <c r="J9" s="39"/>
      <c r="K9" s="39"/>
    </row>
    <row r="10" customFormat="false" ht="24" hidden="false" customHeight="true" outlineLevel="0" collapsed="false">
      <c r="B10" s="36" t="s">
        <v>236</v>
      </c>
      <c r="C10" s="36"/>
      <c r="D10" s="36"/>
      <c r="E10" s="36"/>
      <c r="F10" s="36"/>
      <c r="G10" s="36"/>
      <c r="H10" s="36"/>
      <c r="I10" s="40" t="n">
        <f aca="false">IFERROR(AVERAGE('Grille d''évaluation'!$G$4:$G$78),0)</f>
        <v>0</v>
      </c>
      <c r="J10" s="40"/>
      <c r="K10" s="40"/>
    </row>
    <row r="11" customFormat="false" ht="24" hidden="false" customHeight="true" outlineLevel="0" collapsed="false">
      <c r="B11" s="36" t="s">
        <v>237</v>
      </c>
      <c r="C11" s="36"/>
      <c r="D11" s="36"/>
      <c r="E11" s="36"/>
      <c r="F11" s="36"/>
      <c r="G11" s="36"/>
      <c r="H11" s="36"/>
      <c r="I11" s="41" t="n">
        <f aca="false">IFERROR((COUNTIF('Grille d''évaluation'!$F$4:$F$78,"A")+COUNTIF('Grille d''évaluation'!$F$4:$F$78,"B"))/(COUNTA('Grille d''évaluation'!$F$4:$F$78)-COUNTIF('Grille d''évaluation'!$F$4:$F$78,"NA")),0)</f>
        <v>0</v>
      </c>
      <c r="J11" s="41"/>
      <c r="K11" s="41"/>
    </row>
    <row r="12" customFormat="false" ht="24" hidden="false" customHeight="true" outlineLevel="0" collapsed="false">
      <c r="B12" s="36" t="s">
        <v>238</v>
      </c>
      <c r="C12" s="36"/>
      <c r="D12" s="36"/>
      <c r="E12" s="36"/>
      <c r="F12" s="36"/>
      <c r="G12" s="36"/>
      <c r="H12" s="36"/>
      <c r="I12" s="42" t="n">
        <f aca="false">IFERROR((COUNTIF('Grille d''évaluation'!$F$4:$F$78,"C")+COUNTIF('Grille d''évaluation'!$F$4:$F$78,"D"))/(COUNTA('Grille d''évaluation'!$F$4:$F$78)-COUNTIF('Grille d''évaluation'!$F$4:$F$78,"NA")),0)</f>
        <v>0</v>
      </c>
      <c r="J12" s="42"/>
      <c r="K12" s="42"/>
    </row>
    <row r="15" customFormat="false" ht="21.75" hidden="false" customHeight="true" outlineLevel="0" collapsed="false">
      <c r="B15" s="4" t="s">
        <v>239</v>
      </c>
      <c r="C15" s="4"/>
      <c r="D15" s="4"/>
      <c r="E15" s="4"/>
      <c r="F15" s="4"/>
      <c r="G15" s="4"/>
      <c r="H15" s="4"/>
      <c r="I15" s="4"/>
      <c r="J15" s="4"/>
      <c r="K15" s="4"/>
    </row>
    <row r="16" customFormat="false" ht="24" hidden="false" customHeight="true" outlineLevel="0" collapsed="false">
      <c r="B16" s="43" t="s">
        <v>240</v>
      </c>
      <c r="C16" s="44" t="s">
        <v>241</v>
      </c>
      <c r="D16" s="44"/>
      <c r="E16" s="44"/>
      <c r="F16" s="44"/>
      <c r="G16" s="44"/>
      <c r="H16" s="44" t="s">
        <v>242</v>
      </c>
      <c r="I16" s="44"/>
      <c r="J16" s="44" t="s">
        <v>243</v>
      </c>
      <c r="K16" s="44"/>
    </row>
    <row r="17" customFormat="false" ht="21.75" hidden="false" customHeight="true" outlineLevel="0" collapsed="false">
      <c r="B17" s="45" t="s">
        <v>244</v>
      </c>
      <c r="C17" s="46" t="s">
        <v>245</v>
      </c>
      <c r="D17" s="46"/>
      <c r="E17" s="46"/>
      <c r="F17" s="46"/>
      <c r="G17" s="46"/>
      <c r="H17" s="47" t="n">
        <f aca="false">COUNTIF('Grille d''évaluation'!$F$4:$F$78,"A")</f>
        <v>0</v>
      </c>
      <c r="I17" s="47"/>
      <c r="J17" s="48" t="n">
        <f aca="false">IFERROR(COUNTIF('Grille d''évaluation'!$F$4:$F$78,"A")/I7,0)</f>
        <v>0</v>
      </c>
      <c r="K17" s="48"/>
    </row>
    <row r="18" customFormat="false" ht="21.75" hidden="false" customHeight="true" outlineLevel="0" collapsed="false">
      <c r="B18" s="49" t="s">
        <v>246</v>
      </c>
      <c r="C18" s="46" t="s">
        <v>247</v>
      </c>
      <c r="D18" s="46"/>
      <c r="E18" s="46"/>
      <c r="F18" s="46"/>
      <c r="G18" s="46"/>
      <c r="H18" s="47" t="n">
        <f aca="false">COUNTIF('Grille d''évaluation'!$F$4:$F$78,"B")</f>
        <v>0</v>
      </c>
      <c r="I18" s="47"/>
      <c r="J18" s="48" t="n">
        <f aca="false">IFERROR(COUNTIF('Grille d''évaluation'!$F$4:$F$78,"B")/I7,0)</f>
        <v>0</v>
      </c>
      <c r="K18" s="48"/>
    </row>
    <row r="19" customFormat="false" ht="21.75" hidden="false" customHeight="true" outlineLevel="0" collapsed="false">
      <c r="B19" s="50" t="s">
        <v>248</v>
      </c>
      <c r="C19" s="46" t="s">
        <v>249</v>
      </c>
      <c r="D19" s="46"/>
      <c r="E19" s="46"/>
      <c r="F19" s="46"/>
      <c r="G19" s="46"/>
      <c r="H19" s="47" t="n">
        <f aca="false">COUNTIF('Grille d''évaluation'!$F$4:$F$78,"C")</f>
        <v>0</v>
      </c>
      <c r="I19" s="47"/>
      <c r="J19" s="48" t="n">
        <f aca="false">IFERROR(COUNTIF('Grille d''évaluation'!$F$4:$F$78,"C")/I7,0)</f>
        <v>0</v>
      </c>
      <c r="K19" s="48"/>
    </row>
    <row r="20" customFormat="false" ht="21.75" hidden="false" customHeight="true" outlineLevel="0" collapsed="false">
      <c r="B20" s="12" t="s">
        <v>250</v>
      </c>
      <c r="C20" s="46" t="s">
        <v>251</v>
      </c>
      <c r="D20" s="46"/>
      <c r="E20" s="46"/>
      <c r="F20" s="46"/>
      <c r="G20" s="46"/>
      <c r="H20" s="47" t="n">
        <f aca="false">COUNTIF('Grille d''évaluation'!$F$4:$F$78,"D")</f>
        <v>0</v>
      </c>
      <c r="I20" s="47"/>
      <c r="J20" s="48" t="n">
        <f aca="false">IFERROR(COUNTIF('Grille d''évaluation'!$F$4:$F$78,"D")/I7,0)</f>
        <v>0</v>
      </c>
      <c r="K20" s="48"/>
    </row>
    <row r="21" customFormat="false" ht="21.75" hidden="false" customHeight="true" outlineLevel="0" collapsed="false">
      <c r="B21" s="51" t="s">
        <v>252</v>
      </c>
      <c r="C21" s="46" t="s">
        <v>253</v>
      </c>
      <c r="D21" s="46"/>
      <c r="E21" s="46"/>
      <c r="F21" s="46"/>
      <c r="G21" s="46"/>
      <c r="H21" s="47" t="n">
        <f aca="false">COUNTIF('Grille d''évaluation'!$F$4:$F$78,"NA")</f>
        <v>0</v>
      </c>
      <c r="I21" s="47"/>
      <c r="J21" s="48" t="n">
        <f aca="false">IFERROR(COUNTIF('Grille d''évaluation'!$F$4:$F$78,"NA")/I7,0)</f>
        <v>0</v>
      </c>
      <c r="K21" s="48"/>
    </row>
    <row r="24" customFormat="false" ht="21.75" hidden="false" customHeight="true" outlineLevel="0" collapsed="false">
      <c r="B24" s="4" t="s">
        <v>254</v>
      </c>
      <c r="C24" s="4"/>
      <c r="D24" s="4"/>
      <c r="E24" s="4"/>
      <c r="F24" s="4"/>
      <c r="G24" s="4"/>
      <c r="H24" s="4"/>
      <c r="I24" s="4"/>
      <c r="J24" s="4"/>
      <c r="K24" s="4"/>
    </row>
    <row r="25" customFormat="false" ht="30" hidden="false" customHeight="true" outlineLevel="0" collapsed="false">
      <c r="B25" s="20" t="s">
        <v>49</v>
      </c>
      <c r="C25" s="20" t="s">
        <v>255</v>
      </c>
      <c r="D25" s="20" t="s">
        <v>256</v>
      </c>
      <c r="E25" s="20" t="s">
        <v>257</v>
      </c>
      <c r="F25" s="20" t="s">
        <v>244</v>
      </c>
      <c r="G25" s="20" t="s">
        <v>246</v>
      </c>
      <c r="H25" s="20" t="s">
        <v>248</v>
      </c>
      <c r="I25" s="20" t="s">
        <v>250</v>
      </c>
      <c r="J25" s="20" t="s">
        <v>258</v>
      </c>
      <c r="K25" s="20" t="s">
        <v>259</v>
      </c>
    </row>
    <row r="26" customFormat="false" ht="27.75" hidden="false" customHeight="true" outlineLevel="0" collapsed="false">
      <c r="B26" s="52" t="s">
        <v>260</v>
      </c>
      <c r="C26" s="23" t="s">
        <v>261</v>
      </c>
      <c r="D26" s="53" t="n">
        <v>11</v>
      </c>
      <c r="E26" s="54" t="n">
        <f aca="false">SUMPRODUCT(('Grille d''évaluation'!$B$4:$B$78="Axe 1")*('Grille d''évaluation'!$F$4:$F$78&lt;&gt;""))</f>
        <v>0</v>
      </c>
      <c r="F26" s="54" t="n">
        <f aca="false">SUMPRODUCT(('Grille d''évaluation'!$B$4:$B$78="Axe 1")*('Grille d''évaluation'!$F$4:$F$78="A"))</f>
        <v>0</v>
      </c>
      <c r="G26" s="54" t="n">
        <f aca="false">SUMPRODUCT(('Grille d''évaluation'!$B$4:$B$78="Axe 1")*('Grille d''évaluation'!$F$4:$F$78="B"))</f>
        <v>0</v>
      </c>
      <c r="H26" s="54" t="n">
        <f aca="false">SUMPRODUCT(('Grille d''évaluation'!$B$4:$B$78="Axe 1")*('Grille d''évaluation'!$F$4:$F$78="C"))</f>
        <v>0</v>
      </c>
      <c r="I26" s="54" t="n">
        <f aca="false">SUMPRODUCT(('Grille d''évaluation'!$B$4:$B$78="Axe 1")*('Grille d''évaluation'!$F$4:$F$78="D"))</f>
        <v>0</v>
      </c>
      <c r="J26" s="55" t="str">
        <f aca="false">IFERROR(SUMPRODUCT(('Grille d''évaluation'!$B$4:$B$78="Axe 1")*('Grille d''évaluation'!$G$4:$G$78&lt;&gt;""), IFERROR('Grille d''évaluation'!$G$4:$G$78,0))/SUMPRODUCT(('Grille d''évaluation'!$B$4:$B$78="Axe 1")*('Grille d''évaluation'!$G$4:$G$78&lt;&gt;"")),"")</f>
        <v/>
      </c>
      <c r="K26" s="56" t="str">
        <f aca="false">IFERROR((SUMPRODUCT(('Grille d''évaluation'!$B$4:$B$78="Axe 1")*('Grille d''évaluation'!$F$4:$F$78="A"))+SUMPRODUCT(('Grille d''évaluation'!$B$4:$B$78="Axe 1")*('Grille d''évaluation'!$F$4:$F$78="B")))/(SUMPRODUCT(('Grille d''évaluation'!$B$4:$B$78="Axe 1")*('Grille d''évaluation'!$F$4:$F$78&lt;&gt;""))-SUMPRODUCT(('Grille d''évaluation'!$B$4:$B$78="Axe 1")*('Grille d''évaluation'!$F$4:$F$78="NA"))),"")</f>
        <v/>
      </c>
    </row>
    <row r="27" customFormat="false" ht="27.75" hidden="false" customHeight="true" outlineLevel="0" collapsed="false">
      <c r="B27" s="52" t="s">
        <v>262</v>
      </c>
      <c r="C27" s="23" t="s">
        <v>263</v>
      </c>
      <c r="D27" s="53" t="n">
        <v>8</v>
      </c>
      <c r="E27" s="54" t="n">
        <f aca="false">SUMPRODUCT(('Grille d''évaluation'!$B$4:$B$78="Axe 2")*('Grille d''évaluation'!$F$4:$F$78&lt;&gt;""))</f>
        <v>0</v>
      </c>
      <c r="F27" s="54" t="n">
        <f aca="false">SUMPRODUCT(('Grille d''évaluation'!$B$4:$B$78="Axe 2")*('Grille d''évaluation'!$F$4:$F$78="A"))</f>
        <v>0</v>
      </c>
      <c r="G27" s="54" t="n">
        <f aca="false">SUMPRODUCT(('Grille d''évaluation'!$B$4:$B$78="Axe 2")*('Grille d''évaluation'!$F$4:$F$78="B"))</f>
        <v>0</v>
      </c>
      <c r="H27" s="54" t="n">
        <f aca="false">SUMPRODUCT(('Grille d''évaluation'!$B$4:$B$78="Axe 2")*('Grille d''évaluation'!$F$4:$F$78="C"))</f>
        <v>0</v>
      </c>
      <c r="I27" s="54" t="n">
        <f aca="false">SUMPRODUCT(('Grille d''évaluation'!$B$4:$B$78="Axe 2")*('Grille d''évaluation'!$F$4:$F$78="D"))</f>
        <v>0</v>
      </c>
      <c r="J27" s="55" t="str">
        <f aca="false">IFERROR(SUMPRODUCT(('Grille d''évaluation'!$B$4:$B$78="Axe 2")*('Grille d''évaluation'!$G$4:$G$78&lt;&gt;""), IFERROR('Grille d''évaluation'!$G$4:$G$78,0))/SUMPRODUCT(('Grille d''évaluation'!$B$4:$B$78="Axe 2")*('Grille d''évaluation'!$G$4:$G$78&lt;&gt;"")),"")</f>
        <v/>
      </c>
      <c r="K27" s="56" t="str">
        <f aca="false">IFERROR((SUMPRODUCT(('Grille d''évaluation'!$B$4:$B$78="Axe 2")*('Grille d''évaluation'!$F$4:$F$78="A"))+SUMPRODUCT(('Grille d''évaluation'!$B$4:$B$78="Axe 2")*('Grille d''évaluation'!$F$4:$F$78="B")))/(SUMPRODUCT(('Grille d''évaluation'!$B$4:$B$78="Axe 2")*('Grille d''évaluation'!$F$4:$F$78&lt;&gt;""))-SUMPRODUCT(('Grille d''évaluation'!$B$4:$B$78="Axe 2")*('Grille d''évaluation'!$F$4:$F$78="NA"))),"")</f>
        <v/>
      </c>
    </row>
    <row r="28" customFormat="false" ht="27.75" hidden="false" customHeight="true" outlineLevel="0" collapsed="false">
      <c r="B28" s="52" t="s">
        <v>264</v>
      </c>
      <c r="C28" s="23" t="s">
        <v>265</v>
      </c>
      <c r="D28" s="53" t="n">
        <v>7</v>
      </c>
      <c r="E28" s="54" t="n">
        <f aca="false">SUMPRODUCT(('Grille d''évaluation'!$B$4:$B$78="Axe 3")*('Grille d''évaluation'!$F$4:$F$78&lt;&gt;""))</f>
        <v>0</v>
      </c>
      <c r="F28" s="54" t="n">
        <f aca="false">SUMPRODUCT(('Grille d''évaluation'!$B$4:$B$78="Axe 3")*('Grille d''évaluation'!$F$4:$F$78="A"))</f>
        <v>0</v>
      </c>
      <c r="G28" s="54" t="n">
        <f aca="false">SUMPRODUCT(('Grille d''évaluation'!$B$4:$B$78="Axe 3")*('Grille d''évaluation'!$F$4:$F$78="B"))</f>
        <v>0</v>
      </c>
      <c r="H28" s="54" t="n">
        <f aca="false">SUMPRODUCT(('Grille d''évaluation'!$B$4:$B$78="Axe 3")*('Grille d''évaluation'!$F$4:$F$78="C"))</f>
        <v>0</v>
      </c>
      <c r="I28" s="54" t="n">
        <f aca="false">SUMPRODUCT(('Grille d''évaluation'!$B$4:$B$78="Axe 3")*('Grille d''évaluation'!$F$4:$F$78="D"))</f>
        <v>0</v>
      </c>
      <c r="J28" s="55" t="str">
        <f aca="false">IFERROR(SUMPRODUCT(('Grille d''évaluation'!$B$4:$B$78="Axe 3")*('Grille d''évaluation'!$G$4:$G$78&lt;&gt;""), IFERROR('Grille d''évaluation'!$G$4:$G$78,0))/SUMPRODUCT(('Grille d''évaluation'!$B$4:$B$78="Axe 3")*('Grille d''évaluation'!$G$4:$G$78&lt;&gt;"")),"")</f>
        <v/>
      </c>
      <c r="K28" s="56" t="str">
        <f aca="false">IFERROR((SUMPRODUCT(('Grille d''évaluation'!$B$4:$B$78="Axe 3")*('Grille d''évaluation'!$F$4:$F$78="A"))+SUMPRODUCT(('Grille d''évaluation'!$B$4:$B$78="Axe 3")*('Grille d''évaluation'!$F$4:$F$78="B")))/(SUMPRODUCT(('Grille d''évaluation'!$B$4:$B$78="Axe 3")*('Grille d''évaluation'!$F$4:$F$78&lt;&gt;""))-SUMPRODUCT(('Grille d''évaluation'!$B$4:$B$78="Axe 3")*('Grille d''évaluation'!$F$4:$F$78="NA"))),"")</f>
        <v/>
      </c>
    </row>
    <row r="29" customFormat="false" ht="27.75" hidden="false" customHeight="true" outlineLevel="0" collapsed="false">
      <c r="B29" s="52" t="s">
        <v>266</v>
      </c>
      <c r="C29" s="23" t="s">
        <v>267</v>
      </c>
      <c r="D29" s="53" t="n">
        <v>5</v>
      </c>
      <c r="E29" s="54" t="n">
        <f aca="false">SUMPRODUCT(('Grille d''évaluation'!$B$4:$B$78="Axe 4")*('Grille d''évaluation'!$F$4:$F$78&lt;&gt;""))</f>
        <v>0</v>
      </c>
      <c r="F29" s="54" t="n">
        <f aca="false">SUMPRODUCT(('Grille d''évaluation'!$B$4:$B$78="Axe 4")*('Grille d''évaluation'!$F$4:$F$78="A"))</f>
        <v>0</v>
      </c>
      <c r="G29" s="54" t="n">
        <f aca="false">SUMPRODUCT(('Grille d''évaluation'!$B$4:$B$78="Axe 4")*('Grille d''évaluation'!$F$4:$F$78="B"))</f>
        <v>0</v>
      </c>
      <c r="H29" s="54" t="n">
        <f aca="false">SUMPRODUCT(('Grille d''évaluation'!$B$4:$B$78="Axe 4")*('Grille d''évaluation'!$F$4:$F$78="C"))</f>
        <v>0</v>
      </c>
      <c r="I29" s="54" t="n">
        <f aca="false">SUMPRODUCT(('Grille d''évaluation'!$B$4:$B$78="Axe 4")*('Grille d''évaluation'!$F$4:$F$78="D"))</f>
        <v>0</v>
      </c>
      <c r="J29" s="55" t="str">
        <f aca="false">IFERROR(SUMPRODUCT(('Grille d''évaluation'!$B$4:$B$78="Axe 4")*('Grille d''évaluation'!$G$4:$G$78&lt;&gt;""), IFERROR('Grille d''évaluation'!$G$4:$G$78,0))/SUMPRODUCT(('Grille d''évaluation'!$B$4:$B$78="Axe 4")*('Grille d''évaluation'!$G$4:$G$78&lt;&gt;"")),"")</f>
        <v/>
      </c>
      <c r="K29" s="56" t="str">
        <f aca="false">IFERROR((SUMPRODUCT(('Grille d''évaluation'!$B$4:$B$78="Axe 4")*('Grille d''évaluation'!$F$4:$F$78="A"))+SUMPRODUCT(('Grille d''évaluation'!$B$4:$B$78="Axe 4")*('Grille d''évaluation'!$F$4:$F$78="B")))/(SUMPRODUCT(('Grille d''évaluation'!$B$4:$B$78="Axe 4")*('Grille d''évaluation'!$F$4:$F$78&lt;&gt;""))-SUMPRODUCT(('Grille d''évaluation'!$B$4:$B$78="Axe 4")*('Grille d''évaluation'!$F$4:$F$78="NA"))),"")</f>
        <v/>
      </c>
    </row>
    <row r="30" customFormat="false" ht="27.75" hidden="false" customHeight="true" outlineLevel="0" collapsed="false">
      <c r="B30" s="52" t="s">
        <v>268</v>
      </c>
      <c r="C30" s="23" t="s">
        <v>269</v>
      </c>
      <c r="D30" s="53" t="n">
        <v>9</v>
      </c>
      <c r="E30" s="54" t="n">
        <f aca="false">SUMPRODUCT(('Grille d''évaluation'!$B$4:$B$78="Axe 5")*('Grille d''évaluation'!$F$4:$F$78&lt;&gt;""))</f>
        <v>0</v>
      </c>
      <c r="F30" s="54" t="n">
        <f aca="false">SUMPRODUCT(('Grille d''évaluation'!$B$4:$B$78="Axe 5")*('Grille d''évaluation'!$F$4:$F$78="A"))</f>
        <v>0</v>
      </c>
      <c r="G30" s="54" t="n">
        <f aca="false">SUMPRODUCT(('Grille d''évaluation'!$B$4:$B$78="Axe 5")*('Grille d''évaluation'!$F$4:$F$78="B"))</f>
        <v>0</v>
      </c>
      <c r="H30" s="54" t="n">
        <f aca="false">SUMPRODUCT(('Grille d''évaluation'!$B$4:$B$78="Axe 5")*('Grille d''évaluation'!$F$4:$F$78="C"))</f>
        <v>0</v>
      </c>
      <c r="I30" s="54" t="n">
        <f aca="false">SUMPRODUCT(('Grille d''évaluation'!$B$4:$B$78="Axe 5")*('Grille d''évaluation'!$F$4:$F$78="D"))</f>
        <v>0</v>
      </c>
      <c r="J30" s="55" t="str">
        <f aca="false">IFERROR(SUMPRODUCT(('Grille d''évaluation'!$B$4:$B$78="Axe 5")*('Grille d''évaluation'!$G$4:$G$78&lt;&gt;""), IFERROR('Grille d''évaluation'!$G$4:$G$78,0))/SUMPRODUCT(('Grille d''évaluation'!$B$4:$B$78="Axe 5")*('Grille d''évaluation'!$G$4:$G$78&lt;&gt;"")),"")</f>
        <v/>
      </c>
      <c r="K30" s="56" t="str">
        <f aca="false">IFERROR((SUMPRODUCT(('Grille d''évaluation'!$B$4:$B$78="Axe 5")*('Grille d''évaluation'!$F$4:$F$78="A"))+SUMPRODUCT(('Grille d''évaluation'!$B$4:$B$78="Axe 5")*('Grille d''évaluation'!$F$4:$F$78="B")))/(SUMPRODUCT(('Grille d''évaluation'!$B$4:$B$78="Axe 5")*('Grille d''évaluation'!$F$4:$F$78&lt;&gt;""))-SUMPRODUCT(('Grille d''évaluation'!$B$4:$B$78="Axe 5")*('Grille d''évaluation'!$F$4:$F$78="NA"))),"")</f>
        <v/>
      </c>
    </row>
    <row r="31" customFormat="false" ht="27.75" hidden="false" customHeight="true" outlineLevel="0" collapsed="false">
      <c r="B31" s="52" t="s">
        <v>270</v>
      </c>
      <c r="C31" s="23" t="s">
        <v>271</v>
      </c>
      <c r="D31" s="53" t="n">
        <v>5</v>
      </c>
      <c r="E31" s="54" t="n">
        <f aca="false">SUMPRODUCT(('Grille d''évaluation'!$B$4:$B$78="Axe 6")*('Grille d''évaluation'!$F$4:$F$78&lt;&gt;""))</f>
        <v>0</v>
      </c>
      <c r="F31" s="54" t="n">
        <f aca="false">SUMPRODUCT(('Grille d''évaluation'!$B$4:$B$78="Axe 6")*('Grille d''évaluation'!$F$4:$F$78="A"))</f>
        <v>0</v>
      </c>
      <c r="G31" s="54" t="n">
        <f aca="false">SUMPRODUCT(('Grille d''évaluation'!$B$4:$B$78="Axe 6")*('Grille d''évaluation'!$F$4:$F$78="B"))</f>
        <v>0</v>
      </c>
      <c r="H31" s="54" t="n">
        <f aca="false">SUMPRODUCT(('Grille d''évaluation'!$B$4:$B$78="Axe 6")*('Grille d''évaluation'!$F$4:$F$78="C"))</f>
        <v>0</v>
      </c>
      <c r="I31" s="54" t="n">
        <f aca="false">SUMPRODUCT(('Grille d''évaluation'!$B$4:$B$78="Axe 6")*('Grille d''évaluation'!$F$4:$F$78="D"))</f>
        <v>0</v>
      </c>
      <c r="J31" s="55" t="str">
        <f aca="false">IFERROR(SUMPRODUCT(('Grille d''évaluation'!$B$4:$B$78="Axe 6")*('Grille d''évaluation'!$G$4:$G$78&lt;&gt;""), IFERROR('Grille d''évaluation'!$G$4:$G$78,0))/SUMPRODUCT(('Grille d''évaluation'!$B$4:$B$78="Axe 6")*('Grille d''évaluation'!$G$4:$G$78&lt;&gt;"")),"")</f>
        <v/>
      </c>
      <c r="K31" s="56" t="str">
        <f aca="false">IFERROR((SUMPRODUCT(('Grille d''évaluation'!$B$4:$B$78="Axe 6")*('Grille d''évaluation'!$F$4:$F$78="A"))+SUMPRODUCT(('Grille d''évaluation'!$B$4:$B$78="Axe 6")*('Grille d''évaluation'!$F$4:$F$78="B")))/(SUMPRODUCT(('Grille d''évaluation'!$B$4:$B$78="Axe 6")*('Grille d''évaluation'!$F$4:$F$78&lt;&gt;""))-SUMPRODUCT(('Grille d''évaluation'!$B$4:$B$78="Axe 6")*('Grille d''évaluation'!$F$4:$F$78="NA"))),"")</f>
        <v/>
      </c>
    </row>
    <row r="32" customFormat="false" ht="27.75" hidden="false" customHeight="true" outlineLevel="0" collapsed="false">
      <c r="B32" s="52" t="s">
        <v>272</v>
      </c>
      <c r="C32" s="23" t="s">
        <v>273</v>
      </c>
      <c r="D32" s="53" t="n">
        <v>8</v>
      </c>
      <c r="E32" s="54" t="n">
        <f aca="false">SUMPRODUCT(('Grille d''évaluation'!$B$4:$B$78="Axe 7")*('Grille d''évaluation'!$F$4:$F$78&lt;&gt;""))</f>
        <v>0</v>
      </c>
      <c r="F32" s="54" t="n">
        <f aca="false">SUMPRODUCT(('Grille d''évaluation'!$B$4:$B$78="Axe 7")*('Grille d''évaluation'!$F$4:$F$78="A"))</f>
        <v>0</v>
      </c>
      <c r="G32" s="54" t="n">
        <f aca="false">SUMPRODUCT(('Grille d''évaluation'!$B$4:$B$78="Axe 7")*('Grille d''évaluation'!$F$4:$F$78="B"))</f>
        <v>0</v>
      </c>
      <c r="H32" s="54" t="n">
        <f aca="false">SUMPRODUCT(('Grille d''évaluation'!$B$4:$B$78="Axe 7")*('Grille d''évaluation'!$F$4:$F$78="C"))</f>
        <v>0</v>
      </c>
      <c r="I32" s="54" t="n">
        <f aca="false">SUMPRODUCT(('Grille d''évaluation'!$B$4:$B$78="Axe 7")*('Grille d''évaluation'!$F$4:$F$78="D"))</f>
        <v>0</v>
      </c>
      <c r="J32" s="55" t="str">
        <f aca="false">IFERROR(SUMPRODUCT(('Grille d''évaluation'!$B$4:$B$78="Axe 7")*('Grille d''évaluation'!$G$4:$G$78&lt;&gt;""), IFERROR('Grille d''évaluation'!$G$4:$G$78,0))/SUMPRODUCT(('Grille d''évaluation'!$B$4:$B$78="Axe 7")*('Grille d''évaluation'!$G$4:$G$78&lt;&gt;"")),"")</f>
        <v/>
      </c>
      <c r="K32" s="56" t="str">
        <f aca="false">IFERROR((SUMPRODUCT(('Grille d''évaluation'!$B$4:$B$78="Axe 7")*('Grille d''évaluation'!$F$4:$F$78="A"))+SUMPRODUCT(('Grille d''évaluation'!$B$4:$B$78="Axe 7")*('Grille d''évaluation'!$F$4:$F$78="B")))/(SUMPRODUCT(('Grille d''évaluation'!$B$4:$B$78="Axe 7")*('Grille d''évaluation'!$F$4:$F$78&lt;&gt;""))-SUMPRODUCT(('Grille d''évaluation'!$B$4:$B$78="Axe 7")*('Grille d''évaluation'!$F$4:$F$78="NA"))),"")</f>
        <v/>
      </c>
    </row>
    <row r="33" customFormat="false" ht="27.75" hidden="false" customHeight="true" outlineLevel="0" collapsed="false">
      <c r="B33" s="52" t="s">
        <v>274</v>
      </c>
      <c r="C33" s="23" t="s">
        <v>275</v>
      </c>
      <c r="D33" s="53" t="n">
        <v>9</v>
      </c>
      <c r="E33" s="54" t="n">
        <f aca="false">SUMPRODUCT(('Grille d''évaluation'!$B$4:$B$78="Axe 8")*('Grille d''évaluation'!$F$4:$F$78&lt;&gt;""))</f>
        <v>0</v>
      </c>
      <c r="F33" s="54" t="n">
        <f aca="false">SUMPRODUCT(('Grille d''évaluation'!$B$4:$B$78="Axe 8")*('Grille d''évaluation'!$F$4:$F$78="A"))</f>
        <v>0</v>
      </c>
      <c r="G33" s="54" t="n">
        <f aca="false">SUMPRODUCT(('Grille d''évaluation'!$B$4:$B$78="Axe 8")*('Grille d''évaluation'!$F$4:$F$78="B"))</f>
        <v>0</v>
      </c>
      <c r="H33" s="54" t="n">
        <f aca="false">SUMPRODUCT(('Grille d''évaluation'!$B$4:$B$78="Axe 8")*('Grille d''évaluation'!$F$4:$F$78="C"))</f>
        <v>0</v>
      </c>
      <c r="I33" s="54" t="n">
        <f aca="false">SUMPRODUCT(('Grille d''évaluation'!$B$4:$B$78="Axe 8")*('Grille d''évaluation'!$F$4:$F$78="D"))</f>
        <v>0</v>
      </c>
      <c r="J33" s="55" t="str">
        <f aca="false">IFERROR(SUMPRODUCT(('Grille d''évaluation'!$B$4:$B$78="Axe 8")*('Grille d''évaluation'!$G$4:$G$78&lt;&gt;""), IFERROR('Grille d''évaluation'!$G$4:$G$78,0))/SUMPRODUCT(('Grille d''évaluation'!$B$4:$B$78="Axe 8")*('Grille d''évaluation'!$G$4:$G$78&lt;&gt;"")),"")</f>
        <v/>
      </c>
      <c r="K33" s="56" t="str">
        <f aca="false">IFERROR((SUMPRODUCT(('Grille d''évaluation'!$B$4:$B$78="Axe 8")*('Grille d''évaluation'!$F$4:$F$78="A"))+SUMPRODUCT(('Grille d''évaluation'!$B$4:$B$78="Axe 8")*('Grille d''évaluation'!$F$4:$F$78="B")))/(SUMPRODUCT(('Grille d''évaluation'!$B$4:$B$78="Axe 8")*('Grille d''évaluation'!$F$4:$F$78&lt;&gt;""))-SUMPRODUCT(('Grille d''évaluation'!$B$4:$B$78="Axe 8")*('Grille d''évaluation'!$F$4:$F$78="NA"))),"")</f>
        <v/>
      </c>
    </row>
    <row r="34" customFormat="false" ht="27.75" hidden="false" customHeight="true" outlineLevel="0" collapsed="false">
      <c r="B34" s="52" t="s">
        <v>276</v>
      </c>
      <c r="C34" s="23" t="s">
        <v>277</v>
      </c>
      <c r="D34" s="53" t="n">
        <v>8</v>
      </c>
      <c r="E34" s="54" t="n">
        <f aca="false">SUMPRODUCT(('Grille d''évaluation'!$B$4:$B$78="Axe 9")*('Grille d''évaluation'!$F$4:$F$78&lt;&gt;""))</f>
        <v>0</v>
      </c>
      <c r="F34" s="54" t="n">
        <f aca="false">SUMPRODUCT(('Grille d''évaluation'!$B$4:$B$78="Axe 9")*('Grille d''évaluation'!$F$4:$F$78="A"))</f>
        <v>0</v>
      </c>
      <c r="G34" s="54" t="n">
        <f aca="false">SUMPRODUCT(('Grille d''évaluation'!$B$4:$B$78="Axe 9")*('Grille d''évaluation'!$F$4:$F$78="B"))</f>
        <v>0</v>
      </c>
      <c r="H34" s="54" t="n">
        <f aca="false">SUMPRODUCT(('Grille d''évaluation'!$B$4:$B$78="Axe 9")*('Grille d''évaluation'!$F$4:$F$78="C"))</f>
        <v>0</v>
      </c>
      <c r="I34" s="54" t="n">
        <f aca="false">SUMPRODUCT(('Grille d''évaluation'!$B$4:$B$78="Axe 9")*('Grille d''évaluation'!$F$4:$F$78="D"))</f>
        <v>0</v>
      </c>
      <c r="J34" s="55" t="str">
        <f aca="false">IFERROR(SUMPRODUCT(('Grille d''évaluation'!$B$4:$B$78="Axe 9")*('Grille d''évaluation'!$G$4:$G$78&lt;&gt;""), IFERROR('Grille d''évaluation'!$G$4:$G$78,0))/SUMPRODUCT(('Grille d''évaluation'!$B$4:$B$78="Axe 9")*('Grille d''évaluation'!$G$4:$G$78&lt;&gt;"")),"")</f>
        <v/>
      </c>
      <c r="K34" s="56" t="str">
        <f aca="false">IFERROR((SUMPRODUCT(('Grille d''évaluation'!$B$4:$B$78="Axe 9")*('Grille d''évaluation'!$F$4:$F$78="A"))+SUMPRODUCT(('Grille d''évaluation'!$B$4:$B$78="Axe 9")*('Grille d''évaluation'!$F$4:$F$78="B")))/(SUMPRODUCT(('Grille d''évaluation'!$B$4:$B$78="Axe 9")*('Grille d''évaluation'!$F$4:$F$78&lt;&gt;""))-SUMPRODUCT(('Grille d''évaluation'!$B$4:$B$78="Axe 9")*('Grille d''évaluation'!$F$4:$F$78="NA"))),"")</f>
        <v/>
      </c>
    </row>
    <row r="35" customFormat="false" ht="27.75" hidden="false" customHeight="true" outlineLevel="0" collapsed="false">
      <c r="B35" s="52" t="s">
        <v>278</v>
      </c>
      <c r="C35" s="23" t="s">
        <v>279</v>
      </c>
      <c r="D35" s="53" t="n">
        <v>5</v>
      </c>
      <c r="E35" s="54" t="n">
        <f aca="false">SUMPRODUCT(('Grille d''évaluation'!$B$4:$B$78="Axe 10")*('Grille d''évaluation'!$F$4:$F$78&lt;&gt;""))</f>
        <v>0</v>
      </c>
      <c r="F35" s="54" t="n">
        <f aca="false">SUMPRODUCT(('Grille d''évaluation'!$B$4:$B$78="Axe 10")*('Grille d''évaluation'!$F$4:$F$78="A"))</f>
        <v>0</v>
      </c>
      <c r="G35" s="54" t="n">
        <f aca="false">SUMPRODUCT(('Grille d''évaluation'!$B$4:$B$78="Axe 10")*('Grille d''évaluation'!$F$4:$F$78="B"))</f>
        <v>0</v>
      </c>
      <c r="H35" s="54" t="n">
        <f aca="false">SUMPRODUCT(('Grille d''évaluation'!$B$4:$B$78="Axe 10")*('Grille d''évaluation'!$F$4:$F$78="C"))</f>
        <v>0</v>
      </c>
      <c r="I35" s="54" t="n">
        <f aca="false">SUMPRODUCT(('Grille d''évaluation'!$B$4:$B$78="Axe 10")*('Grille d''évaluation'!$F$4:$F$78="D"))</f>
        <v>0</v>
      </c>
      <c r="J35" s="55" t="str">
        <f aca="false">IFERROR(SUMPRODUCT(('Grille d''évaluation'!$B$4:$B$78="Axe 10")*('Grille d''évaluation'!$G$4:$G$78&lt;&gt;""), IFERROR('Grille d''évaluation'!$G$4:$G$78,0))/SUMPRODUCT(('Grille d''évaluation'!$B$4:$B$78="Axe 10")*('Grille d''évaluation'!$G$4:$G$78&lt;&gt;"")),"")</f>
        <v/>
      </c>
      <c r="K35" s="56" t="str">
        <f aca="false">IFERROR((SUMPRODUCT(('Grille d''évaluation'!$B$4:$B$78="Axe 10")*('Grille d''évaluation'!$F$4:$F$78="A"))+SUMPRODUCT(('Grille d''évaluation'!$B$4:$B$78="Axe 10")*('Grille d''évaluation'!$F$4:$F$78="B")))/(SUMPRODUCT(('Grille d''évaluation'!$B$4:$B$78="Axe 10")*('Grille d''évaluation'!$F$4:$F$78&lt;&gt;""))-SUMPRODUCT(('Grille d''évaluation'!$B$4:$B$78="Axe 10")*('Grille d''évaluation'!$F$4:$F$78="NA"))),"")</f>
        <v/>
      </c>
    </row>
    <row r="37" customFormat="false" ht="21.75" hidden="false" customHeight="true" outlineLevel="0" collapsed="false">
      <c r="B37" s="57" t="s">
        <v>280</v>
      </c>
      <c r="C37" s="57"/>
      <c r="D37" s="57"/>
      <c r="E37" s="57"/>
      <c r="F37" s="57"/>
      <c r="G37" s="57"/>
      <c r="H37" s="57"/>
      <c r="I37" s="57"/>
      <c r="J37" s="57"/>
      <c r="K37" s="57"/>
    </row>
    <row r="38" customFormat="false" ht="24" hidden="false" customHeight="true" outlineLevel="0" collapsed="false">
      <c r="B38" s="36" t="s">
        <v>281</v>
      </c>
      <c r="C38" s="36"/>
      <c r="D38" s="36"/>
      <c r="E38" s="36"/>
      <c r="F38" s="36"/>
      <c r="G38" s="36"/>
      <c r="H38" s="36"/>
      <c r="I38" s="58" t="n">
        <f aca="false">COUNTIF('Grille d''évaluation'!$E$4:$E$78,"I")</f>
        <v>19</v>
      </c>
      <c r="J38" s="58"/>
      <c r="K38" s="58"/>
    </row>
    <row r="39" customFormat="false" ht="24" hidden="false" customHeight="true" outlineLevel="0" collapsed="false">
      <c r="B39" s="36" t="s">
        <v>282</v>
      </c>
      <c r="C39" s="36"/>
      <c r="D39" s="36"/>
      <c r="E39" s="36"/>
      <c r="F39" s="36"/>
      <c r="G39" s="36"/>
      <c r="H39" s="36"/>
      <c r="I39" s="38" t="n">
        <f aca="false">SUMPRODUCT(('Grille d''évaluation'!$E$4:$E$78="I")*('Grille d''évaluation'!$F$4:$F$78&lt;&gt;""))</f>
        <v>0</v>
      </c>
      <c r="J39" s="38"/>
      <c r="K39" s="38"/>
    </row>
    <row r="40" customFormat="false" ht="24" hidden="false" customHeight="true" outlineLevel="0" collapsed="false">
      <c r="B40" s="36" t="s">
        <v>283</v>
      </c>
      <c r="C40" s="36"/>
      <c r="D40" s="36"/>
      <c r="E40" s="36"/>
      <c r="F40" s="36"/>
      <c r="G40" s="36"/>
      <c r="H40" s="36"/>
      <c r="I40" s="58" t="n">
        <f aca="false">SUMPRODUCT(('Grille d''évaluation'!$E$4:$E$78="I")*('Grille d''évaluation'!$F$4:$F$78="D"))</f>
        <v>0</v>
      </c>
      <c r="J40" s="58"/>
      <c r="K40" s="58"/>
    </row>
    <row r="41" customFormat="false" ht="24" hidden="false" customHeight="true" outlineLevel="0" collapsed="false">
      <c r="B41" s="36" t="s">
        <v>284</v>
      </c>
      <c r="C41" s="36"/>
      <c r="D41" s="36"/>
      <c r="E41" s="36"/>
      <c r="F41" s="36"/>
      <c r="G41" s="36"/>
      <c r="H41" s="36"/>
      <c r="I41" s="59" t="n">
        <f aca="false">SUMPRODUCT(('Grille d''évaluation'!$E$4:$E$78="I")*('Grille d''évaluation'!$F$4:$F$78="C"))</f>
        <v>0</v>
      </c>
      <c r="J41" s="59"/>
      <c r="K41" s="59"/>
    </row>
    <row r="42" customFormat="false" ht="24" hidden="false" customHeight="true" outlineLevel="0" collapsed="false">
      <c r="B42" s="36" t="s">
        <v>285</v>
      </c>
      <c r="C42" s="36"/>
      <c r="D42" s="36"/>
      <c r="E42" s="36"/>
      <c r="F42" s="36"/>
      <c r="G42" s="36"/>
      <c r="H42" s="36"/>
      <c r="I42" s="60" t="n">
        <f aca="false">SUMPRODUCT(('Grille d''évaluation'!$E$4:$E$78="I")*('Grille d''évaluation'!$F$4:$F$78="A"))+SUMPRODUCT(('Grille d''évaluation'!$E$4:$E$78="I")*('Grille d''évaluation'!$F$4:$F$78="B"))</f>
        <v>0</v>
      </c>
      <c r="J42" s="60"/>
      <c r="K42" s="60"/>
    </row>
    <row r="43" customFormat="false" ht="24" hidden="false" customHeight="true" outlineLevel="0" collapsed="false">
      <c r="B43" s="36" t="s">
        <v>286</v>
      </c>
      <c r="C43" s="36"/>
      <c r="D43" s="36"/>
      <c r="E43" s="36"/>
      <c r="F43" s="36"/>
      <c r="G43" s="36"/>
      <c r="H43" s="36"/>
      <c r="I43" s="61" t="n">
        <f aca="false">IFERROR((SUMPRODUCT(('Grille d''évaluation'!$E$4:$E$78="I")*('Grille d''évaluation'!$F$4:$F$78="A"))+SUMPRODUCT(('Grille d''évaluation'!$E$4:$E$78="I")*('Grille d''évaluation'!$F$4:$F$78="B")))/(SUMPRODUCT(('Grille d''évaluation'!$E$4:$E$78="I")*('Grille d''évaluation'!$F$4:$F$78&lt;&gt;""))-SUMPRODUCT(('Grille d''évaluation'!$E$4:$E$78="I")*('Grille d''évaluation'!$F$4:$F$78="NA"))),0)</f>
        <v>0</v>
      </c>
      <c r="J43" s="61"/>
      <c r="K43" s="61"/>
    </row>
  </sheetData>
  <mergeCells count="48">
    <mergeCell ref="B2:K2"/>
    <mergeCell ref="B3:K3"/>
    <mergeCell ref="B5:K5"/>
    <mergeCell ref="B7:H7"/>
    <mergeCell ref="I7:K7"/>
    <mergeCell ref="B8:H8"/>
    <mergeCell ref="I8:K8"/>
    <mergeCell ref="B9:H9"/>
    <mergeCell ref="I9:K9"/>
    <mergeCell ref="B10:H10"/>
    <mergeCell ref="I10:K10"/>
    <mergeCell ref="B11:H11"/>
    <mergeCell ref="I11:K11"/>
    <mergeCell ref="B12:H12"/>
    <mergeCell ref="I12:K12"/>
    <mergeCell ref="B15:K15"/>
    <mergeCell ref="C16:G16"/>
    <mergeCell ref="H16:I16"/>
    <mergeCell ref="J16:K16"/>
    <mergeCell ref="C17:G17"/>
    <mergeCell ref="H17:I17"/>
    <mergeCell ref="J17:K17"/>
    <mergeCell ref="C18:G18"/>
    <mergeCell ref="H18:I18"/>
    <mergeCell ref="J18:K18"/>
    <mergeCell ref="C19:G19"/>
    <mergeCell ref="H19:I19"/>
    <mergeCell ref="J19:K19"/>
    <mergeCell ref="C20:G20"/>
    <mergeCell ref="H20:I20"/>
    <mergeCell ref="J20:K20"/>
    <mergeCell ref="C21:G21"/>
    <mergeCell ref="H21:I21"/>
    <mergeCell ref="J21:K21"/>
    <mergeCell ref="B24:K24"/>
    <mergeCell ref="B37:K37"/>
    <mergeCell ref="B38:H38"/>
    <mergeCell ref="I38:K38"/>
    <mergeCell ref="B39:H39"/>
    <mergeCell ref="I39:K39"/>
    <mergeCell ref="B40:H40"/>
    <mergeCell ref="I40:K40"/>
    <mergeCell ref="B41:H41"/>
    <mergeCell ref="I41:K41"/>
    <mergeCell ref="B42:H42"/>
    <mergeCell ref="I42:K42"/>
    <mergeCell ref="B43:H43"/>
    <mergeCell ref="I43:K43"/>
  </mergeCells>
  <conditionalFormatting sqref="K26:K35">
    <cfRule type="colorScale" priority="2">
      <colorScale>
        <cfvo type="num" val="0"/>
        <cfvo type="num" val="0.5"/>
        <cfvo type="num" val="1"/>
        <color rgb="FFC00000"/>
        <color rgb="FFFFC000"/>
        <color rgb="FF70AD4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28"/>
    <col collapsed="false" customWidth="true" hidden="false" outlineLevel="0" max="8" min="8" style="0" width="15"/>
    <col collapsed="false" customWidth="true" hidden="false" outlineLevel="0" max="10" min="9" style="0" width="12"/>
    <col collapsed="false" customWidth="true" hidden="false" outlineLevel="0" max="11" min="11" style="0" width="40"/>
  </cols>
  <sheetData>
    <row r="1" customFormat="false" ht="27.75" hidden="false" customHeight="true" outlineLevel="0" collapsed="false">
      <c r="A1" s="18" t="s">
        <v>287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customFormat="false" ht="21.75" hidden="false" customHeight="true" outlineLevel="0" collapsed="false">
      <c r="A2" s="19" t="s">
        <v>288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customFormat="false" ht="31.5" hidden="false" customHeight="true" outlineLevel="0" collapsed="false">
      <c r="A3" s="20" t="s">
        <v>48</v>
      </c>
      <c r="B3" s="20" t="s">
        <v>49</v>
      </c>
      <c r="C3" s="20" t="s">
        <v>50</v>
      </c>
      <c r="D3" s="20" t="s">
        <v>53</v>
      </c>
      <c r="E3" s="20" t="s">
        <v>52</v>
      </c>
      <c r="F3" s="20" t="s">
        <v>57</v>
      </c>
      <c r="G3" s="20" t="s">
        <v>56</v>
      </c>
      <c r="H3" s="20" t="s">
        <v>58</v>
      </c>
      <c r="I3" s="20" t="s">
        <v>59</v>
      </c>
      <c r="J3" s="20" t="s">
        <v>60</v>
      </c>
      <c r="K3" s="20" t="s">
        <v>289</v>
      </c>
    </row>
    <row r="4" customFormat="false" ht="43.5" hidden="false" customHeight="true" outlineLevel="0" collapsed="false">
      <c r="A4" s="62" t="str">
        <f aca="false">'Grille d''évaluation'!A4</f>
        <v>1.1</v>
      </c>
      <c r="B4" s="63" t="str">
        <f aca="false">'Grille d''évaluation'!B4</f>
        <v>Axe 1</v>
      </c>
      <c r="C4" s="28" t="str">
        <f aca="false">'Grille d''évaluation'!C4</f>
        <v>La personne accompagnée exprime sa perception de la bientraitance ; un dispositif d'écoute est en place.</v>
      </c>
      <c r="D4" s="64" t="n">
        <f aca="false">'Grille d''évaluation'!F4</f>
        <v>0</v>
      </c>
      <c r="E4" s="65" t="str">
        <f aca="false">'Grille d''évaluation'!E4</f>
        <v>S</v>
      </c>
      <c r="F4" s="28" t="n">
        <f aca="false">'Grille d''évaluation'!J4</f>
        <v>0</v>
      </c>
      <c r="G4" s="28" t="n">
        <f aca="false">'Grille d''évaluation'!I4</f>
        <v>0</v>
      </c>
      <c r="H4" s="66" t="n">
        <f aca="false">'Grille d''évaluation'!K4</f>
        <v>0</v>
      </c>
      <c r="I4" s="66" t="n">
        <f aca="false">'Grille d''évaluation'!L4</f>
        <v>0</v>
      </c>
      <c r="J4" s="66" t="n">
        <f aca="false">'Grille d''évaluation'!M4</f>
        <v>0</v>
      </c>
      <c r="K4" s="62" t="str">
        <f aca="false">IF(AND('Grille d''évaluation'!E4="I",OR('Grille d''évaluation'!F4="C",'Grille d''évaluation'!F4="D")),"🔴 CRITIQUE",IF('Grille d''évaluation'!F4="D","🟠 ÉLEVÉE",IF('Grille d''évaluation'!F4="C","🟡 MOYENNE",IF(OR('Grille d''évaluation'!F4="A",'Grille d''évaluation'!F4="B"),"✓ Conforme",""))))</f>
        <v/>
      </c>
    </row>
    <row r="5" customFormat="false" ht="43.5" hidden="false" customHeight="true" outlineLevel="0" collapsed="false">
      <c r="A5" s="62" t="str">
        <f aca="false">'Grille d''évaluation'!A5</f>
        <v>1.2</v>
      </c>
      <c r="B5" s="63" t="str">
        <f aca="false">'Grille d''évaluation'!B5</f>
        <v>Axe 1</v>
      </c>
      <c r="C5" s="28" t="str">
        <f aca="false">'Grille d''évaluation'!C5</f>
        <v>La structure définit, formalise et déploie une stratégie de bientraitance partagée par l'ensemble des acteurs.</v>
      </c>
      <c r="D5" s="64" t="n">
        <f aca="false">'Grille d''évaluation'!F5</f>
        <v>0</v>
      </c>
      <c r="E5" s="65" t="str">
        <f aca="false">'Grille d''évaluation'!E5</f>
        <v>S</v>
      </c>
      <c r="F5" s="28" t="n">
        <f aca="false">'Grille d''évaluation'!J5</f>
        <v>0</v>
      </c>
      <c r="G5" s="28" t="n">
        <f aca="false">'Grille d''évaluation'!I5</f>
        <v>0</v>
      </c>
      <c r="H5" s="66" t="n">
        <f aca="false">'Grille d''évaluation'!K5</f>
        <v>0</v>
      </c>
      <c r="I5" s="66" t="n">
        <f aca="false">'Grille d''évaluation'!L5</f>
        <v>0</v>
      </c>
      <c r="J5" s="66" t="n">
        <f aca="false">'Grille d''évaluation'!M5</f>
        <v>0</v>
      </c>
      <c r="K5" s="62" t="str">
        <f aca="false">IF(AND('Grille d''évaluation'!E5="I",OR('Grille d''évaluation'!F5="C",'Grille d''évaluation'!F5="D")),"🔴 CRITIQUE",IF('Grille d''évaluation'!F5="D","🟠 ÉLEVÉE",IF('Grille d''évaluation'!F5="C","🟡 MOYENNE",IF(OR('Grille d''évaluation'!F5="A",'Grille d''évaluation'!F5="B"),"✓ Conforme",""))))</f>
        <v/>
      </c>
    </row>
    <row r="6" customFormat="false" ht="43.5" hidden="false" customHeight="true" outlineLevel="0" collapsed="false">
      <c r="A6" s="62" t="str">
        <f aca="false">'Grille d''évaluation'!A6</f>
        <v>1.3</v>
      </c>
      <c r="B6" s="63" t="str">
        <f aca="false">'Grille d''évaluation'!B6</f>
        <v>Axe 1</v>
      </c>
      <c r="C6" s="28" t="str">
        <f aca="false">'Grille d''évaluation'!C6</f>
        <v>Les professionnels sont régulièrement sensibilisés et/ou formés à la bientraitance.</v>
      </c>
      <c r="D6" s="64" t="n">
        <f aca="false">'Grille d''évaluation'!F6</f>
        <v>0</v>
      </c>
      <c r="E6" s="65" t="str">
        <f aca="false">'Grille d''évaluation'!E6</f>
        <v>S</v>
      </c>
      <c r="F6" s="28" t="n">
        <f aca="false">'Grille d''évaluation'!J6</f>
        <v>0</v>
      </c>
      <c r="G6" s="28" t="n">
        <f aca="false">'Grille d''évaluation'!I6</f>
        <v>0</v>
      </c>
      <c r="H6" s="66" t="n">
        <f aca="false">'Grille d''évaluation'!K6</f>
        <v>0</v>
      </c>
      <c r="I6" s="66" t="n">
        <f aca="false">'Grille d''évaluation'!L6</f>
        <v>0</v>
      </c>
      <c r="J6" s="66" t="n">
        <f aca="false">'Grille d''évaluation'!M6</f>
        <v>0</v>
      </c>
      <c r="K6" s="62" t="str">
        <f aca="false">IF(AND('Grille d''évaluation'!E6="I",OR('Grille d''évaluation'!F6="C",'Grille d''évaluation'!F6="D")),"🔴 CRITIQUE",IF('Grille d''évaluation'!F6="D","🟠 ÉLEVÉE",IF('Grille d''évaluation'!F6="C","🟡 MOYENNE",IF(OR('Grille d''évaluation'!F6="A",'Grille d''évaluation'!F6="B"),"✓ Conforme",""))))</f>
        <v/>
      </c>
    </row>
    <row r="7" customFormat="false" ht="43.5" hidden="false" customHeight="true" outlineLevel="0" collapsed="false">
      <c r="A7" s="62" t="str">
        <f aca="false">'Grille d''évaluation'!A7</f>
        <v>1.4</v>
      </c>
      <c r="B7" s="63" t="str">
        <f aca="false">'Grille d''évaluation'!B7</f>
        <v>Axe 1</v>
      </c>
      <c r="C7" s="28" t="str">
        <f aca="false">'Grille d''évaluation'!C7</f>
        <v>La personne est informée de ses droits et devoirs (livret d'accueil, règlement de fonctionnement, charte) de façon claire et adaptée.</v>
      </c>
      <c r="D7" s="64" t="n">
        <f aca="false">'Grille d''évaluation'!F7</f>
        <v>0</v>
      </c>
      <c r="E7" s="65" t="str">
        <f aca="false">'Grille d''évaluation'!E7</f>
        <v>S</v>
      </c>
      <c r="F7" s="28" t="n">
        <f aca="false">'Grille d''évaluation'!J7</f>
        <v>0</v>
      </c>
      <c r="G7" s="28" t="n">
        <f aca="false">'Grille d''évaluation'!I7</f>
        <v>0</v>
      </c>
      <c r="H7" s="66" t="n">
        <f aca="false">'Grille d''évaluation'!K7</f>
        <v>0</v>
      </c>
      <c r="I7" s="66" t="n">
        <f aca="false">'Grille d''évaluation'!L7</f>
        <v>0</v>
      </c>
      <c r="J7" s="66" t="n">
        <f aca="false">'Grille d''évaluation'!M7</f>
        <v>0</v>
      </c>
      <c r="K7" s="62" t="str">
        <f aca="false">IF(AND('Grille d''évaluation'!E7="I",OR('Grille d''évaluation'!F7="C",'Grille d''évaluation'!F7="D")),"🔴 CRITIQUE",IF('Grille d''évaluation'!F7="D","🟠 ÉLEVÉE",IF('Grille d''évaluation'!F7="C","🟡 MOYENNE",IF(OR('Grille d''évaluation'!F7="A",'Grille d''évaluation'!F7="B"),"✓ Conforme",""))))</f>
        <v/>
      </c>
    </row>
    <row r="8" customFormat="false" ht="43.5" hidden="false" customHeight="true" outlineLevel="0" collapsed="false">
      <c r="A8" s="62" t="str">
        <f aca="false">'Grille d''évaluation'!A8</f>
        <v>1.5</v>
      </c>
      <c r="B8" s="63" t="str">
        <f aca="false">'Grille d''évaluation'!B8</f>
        <v>Axe 1</v>
      </c>
      <c r="C8" s="28" t="str">
        <f aca="false">'Grille d''évaluation'!C8</f>
        <v>La personne est systématiquement informée de la possibilité de désigner une personne de confiance.</v>
      </c>
      <c r="D8" s="64" t="n">
        <f aca="false">'Grille d''évaluation'!F8</f>
        <v>0</v>
      </c>
      <c r="E8" s="65" t="str">
        <f aca="false">'Grille d''évaluation'!E8</f>
        <v>I</v>
      </c>
      <c r="F8" s="28" t="n">
        <f aca="false">'Grille d''évaluation'!J8</f>
        <v>0</v>
      </c>
      <c r="G8" s="28" t="n">
        <f aca="false">'Grille d''évaluation'!I8</f>
        <v>0</v>
      </c>
      <c r="H8" s="66" t="n">
        <f aca="false">'Grille d''évaluation'!K8</f>
        <v>0</v>
      </c>
      <c r="I8" s="66" t="n">
        <f aca="false">'Grille d''évaluation'!L8</f>
        <v>0</v>
      </c>
      <c r="J8" s="66" t="n">
        <f aca="false">'Grille d''évaluation'!M8</f>
        <v>0</v>
      </c>
      <c r="K8" s="62" t="str">
        <f aca="false">IF(AND('Grille d''évaluation'!E8="I",OR('Grille d''évaluation'!F8="C",'Grille d''évaluation'!F8="D")),"🔴 CRITIQUE",IF('Grille d''évaluation'!F8="D","🟠 ÉLEVÉE",IF('Grille d''évaluation'!F8="C","🟡 MOYENNE",IF(OR('Grille d''évaluation'!F8="A",'Grille d''évaluation'!F8="B"),"✓ Conforme",""))))</f>
        <v/>
      </c>
    </row>
    <row r="9" customFormat="false" ht="43.5" hidden="false" customHeight="true" outlineLevel="0" collapsed="false">
      <c r="A9" s="62" t="str">
        <f aca="false">'Grille d''évaluation'!A9</f>
        <v>1.6</v>
      </c>
      <c r="B9" s="63" t="str">
        <f aca="false">'Grille d''évaluation'!B9</f>
        <v>Axe 1</v>
      </c>
      <c r="C9" s="28" t="str">
        <f aca="false">'Grille d''évaluation'!C9</f>
        <v>Les professionnels respectent la dignité, l'intégrité, la vie privée et l'intimité de la personne accompagnée.</v>
      </c>
      <c r="D9" s="64" t="n">
        <f aca="false">'Grille d''évaluation'!F9</f>
        <v>0</v>
      </c>
      <c r="E9" s="65" t="str">
        <f aca="false">'Grille d''évaluation'!E9</f>
        <v>I</v>
      </c>
      <c r="F9" s="28" t="n">
        <f aca="false">'Grille d''évaluation'!J9</f>
        <v>0</v>
      </c>
      <c r="G9" s="28" t="n">
        <f aca="false">'Grille d''évaluation'!I9</f>
        <v>0</v>
      </c>
      <c r="H9" s="66" t="n">
        <f aca="false">'Grille d''évaluation'!K9</f>
        <v>0</v>
      </c>
      <c r="I9" s="66" t="n">
        <f aca="false">'Grille d''évaluation'!L9</f>
        <v>0</v>
      </c>
      <c r="J9" s="66" t="n">
        <f aca="false">'Grille d''évaluation'!M9</f>
        <v>0</v>
      </c>
      <c r="K9" s="62" t="str">
        <f aca="false">IF(AND('Grille d''évaluation'!E9="I",OR('Grille d''évaluation'!F9="C",'Grille d''évaluation'!F9="D")),"🔴 CRITIQUE",IF('Grille d''évaluation'!F9="D","🟠 ÉLEVÉE",IF('Grille d''évaluation'!F9="C","🟡 MOYENNE",IF(OR('Grille d''évaluation'!F9="A",'Grille d''évaluation'!F9="B"),"✓ Conforme",""))))</f>
        <v/>
      </c>
    </row>
    <row r="10" customFormat="false" ht="43.5" hidden="false" customHeight="true" outlineLevel="0" collapsed="false">
      <c r="A10" s="62" t="str">
        <f aca="false">'Grille d''évaluation'!A10</f>
        <v>1.7</v>
      </c>
      <c r="B10" s="63" t="str">
        <f aca="false">'Grille d''évaluation'!B10</f>
        <v>Axe 1</v>
      </c>
      <c r="C10" s="28" t="str">
        <f aca="false">'Grille d''évaluation'!C10</f>
        <v>Les professionnels respectent la liberté d'opinion, les croyances, la vie spirituelle, le droit à l'image et la liberté d'aller et venir.</v>
      </c>
      <c r="D10" s="64" t="n">
        <f aca="false">'Grille d''évaluation'!F10</f>
        <v>0</v>
      </c>
      <c r="E10" s="65" t="str">
        <f aca="false">'Grille d''évaluation'!E10</f>
        <v>S</v>
      </c>
      <c r="F10" s="28" t="n">
        <f aca="false">'Grille d''évaluation'!J10</f>
        <v>0</v>
      </c>
      <c r="G10" s="28" t="n">
        <f aca="false">'Grille d''évaluation'!I10</f>
        <v>0</v>
      </c>
      <c r="H10" s="66" t="n">
        <f aca="false">'Grille d''évaluation'!K10</f>
        <v>0</v>
      </c>
      <c r="I10" s="66" t="n">
        <f aca="false">'Grille d''évaluation'!L10</f>
        <v>0</v>
      </c>
      <c r="J10" s="66" t="n">
        <f aca="false">'Grille d''évaluation'!M10</f>
        <v>0</v>
      </c>
      <c r="K10" s="62" t="str">
        <f aca="false">IF(AND('Grille d''évaluation'!E10="I",OR('Grille d''évaluation'!F10="C",'Grille d''évaluation'!F10="D")),"🔴 CRITIQUE",IF('Grille d''évaluation'!F10="D","🟠 ÉLEVÉE",IF('Grille d''évaluation'!F10="C","🟡 MOYENNE",IF(OR('Grille d''évaluation'!F10="A",'Grille d''évaluation'!F10="B"),"✓ Conforme",""))))</f>
        <v/>
      </c>
    </row>
    <row r="11" customFormat="false" ht="43.5" hidden="false" customHeight="true" outlineLevel="0" collapsed="false">
      <c r="A11" s="62" t="str">
        <f aca="false">'Grille d''évaluation'!A11</f>
        <v>1.8</v>
      </c>
      <c r="B11" s="63" t="str">
        <f aca="false">'Grille d''évaluation'!B11</f>
        <v>Axe 1</v>
      </c>
      <c r="C11" s="28" t="str">
        <f aca="false">'Grille d''évaluation'!C11</f>
        <v>L'ESSMS garantit la confidentialité et la protection des données (RGPD, sécurisation des accès, dossier individuel).</v>
      </c>
      <c r="D11" s="64" t="n">
        <f aca="false">'Grille d''évaluation'!F11</f>
        <v>0</v>
      </c>
      <c r="E11" s="65" t="str">
        <f aca="false">'Grille d''évaluation'!E11</f>
        <v>I</v>
      </c>
      <c r="F11" s="28" t="n">
        <f aca="false">'Grille d''évaluation'!J11</f>
        <v>0</v>
      </c>
      <c r="G11" s="28" t="n">
        <f aca="false">'Grille d''évaluation'!I11</f>
        <v>0</v>
      </c>
      <c r="H11" s="66" t="n">
        <f aca="false">'Grille d''évaluation'!K11</f>
        <v>0</v>
      </c>
      <c r="I11" s="66" t="n">
        <f aca="false">'Grille d''évaluation'!L11</f>
        <v>0</v>
      </c>
      <c r="J11" s="66" t="n">
        <f aca="false">'Grille d''évaluation'!M11</f>
        <v>0</v>
      </c>
      <c r="K11" s="62" t="str">
        <f aca="false">IF(AND('Grille d''évaluation'!E11="I",OR('Grille d''évaluation'!F11="C",'Grille d''évaluation'!F11="D")),"🔴 CRITIQUE",IF('Grille d''évaluation'!F11="D","🟠 ÉLEVÉE",IF('Grille d''évaluation'!F11="C","🟡 MOYENNE",IF(OR('Grille d''évaluation'!F11="A",'Grille d''évaluation'!F11="B"),"✓ Conforme",""))))</f>
        <v/>
      </c>
    </row>
    <row r="12" customFormat="false" ht="43.5" hidden="false" customHeight="true" outlineLevel="0" collapsed="false">
      <c r="A12" s="62" t="str">
        <f aca="false">'Grille d''évaluation'!A12</f>
        <v>1.9</v>
      </c>
      <c r="B12" s="63" t="str">
        <f aca="false">'Grille d''évaluation'!B12</f>
        <v>Axe 1</v>
      </c>
      <c r="C12" s="28" t="str">
        <f aca="false">'Grille d''évaluation'!C12</f>
        <v>Les professionnels identifient en équipe les questionnements éthiques et associent la personne et son entourage.</v>
      </c>
      <c r="D12" s="64" t="n">
        <f aca="false">'Grille d''évaluation'!F12</f>
        <v>0</v>
      </c>
      <c r="E12" s="65" t="str">
        <f aca="false">'Grille d''évaluation'!E12</f>
        <v>S</v>
      </c>
      <c r="F12" s="28" t="n">
        <f aca="false">'Grille d''évaluation'!J12</f>
        <v>0</v>
      </c>
      <c r="G12" s="28" t="n">
        <f aca="false">'Grille d''évaluation'!I12</f>
        <v>0</v>
      </c>
      <c r="H12" s="66" t="n">
        <f aca="false">'Grille d''évaluation'!K12</f>
        <v>0</v>
      </c>
      <c r="I12" s="66" t="n">
        <f aca="false">'Grille d''évaluation'!L12</f>
        <v>0</v>
      </c>
      <c r="J12" s="66" t="n">
        <f aca="false">'Grille d''évaluation'!M12</f>
        <v>0</v>
      </c>
      <c r="K12" s="62" t="str">
        <f aca="false">IF(AND('Grille d''évaluation'!E12="I",OR('Grille d''évaluation'!F12="C",'Grille d''évaluation'!F12="D")),"🔴 CRITIQUE",IF('Grille d''évaluation'!F12="D","🟠 ÉLEVÉE",IF('Grille d''évaluation'!F12="C","🟡 MOYENNE",IF(OR('Grille d''évaluation'!F12="A",'Grille d''évaluation'!F12="B"),"✓ Conforme",""))))</f>
        <v/>
      </c>
    </row>
    <row r="13" customFormat="false" ht="43.5" hidden="false" customHeight="true" outlineLevel="0" collapsed="false">
      <c r="A13" s="62" t="str">
        <f aca="false">'Grille d''évaluation'!A13</f>
        <v>1.10</v>
      </c>
      <c r="B13" s="63" t="str">
        <f aca="false">'Grille d''évaluation'!B13</f>
        <v>Axe 1</v>
      </c>
      <c r="C13" s="28" t="str">
        <f aca="false">'Grille d''évaluation'!C13</f>
        <v>L'ESSMS définit un plan de prévention et de gestion des risques de maltraitance et de violence ; les signalements sont traités.</v>
      </c>
      <c r="D13" s="64" t="n">
        <f aca="false">'Grille d''évaluation'!F13</f>
        <v>0</v>
      </c>
      <c r="E13" s="65" t="str">
        <f aca="false">'Grille d''évaluation'!E13</f>
        <v>I</v>
      </c>
      <c r="F13" s="28" t="n">
        <f aca="false">'Grille d''évaluation'!J13</f>
        <v>0</v>
      </c>
      <c r="G13" s="28" t="n">
        <f aca="false">'Grille d''évaluation'!I13</f>
        <v>0</v>
      </c>
      <c r="H13" s="66" t="n">
        <f aca="false">'Grille d''évaluation'!K13</f>
        <v>0</v>
      </c>
      <c r="I13" s="66" t="n">
        <f aca="false">'Grille d''évaluation'!L13</f>
        <v>0</v>
      </c>
      <c r="J13" s="66" t="n">
        <f aca="false">'Grille d''évaluation'!M13</f>
        <v>0</v>
      </c>
      <c r="K13" s="62" t="str">
        <f aca="false">IF(AND('Grille d''évaluation'!E13="I",OR('Grille d''évaluation'!F13="C",'Grille d''évaluation'!F13="D")),"🔴 CRITIQUE",IF('Grille d''évaluation'!F13="D","🟠 ÉLEVÉE",IF('Grille d''évaluation'!F13="C","🟡 MOYENNE",IF(OR('Grille d''évaluation'!F13="A",'Grille d''évaluation'!F13="B"),"✓ Conforme",""))))</f>
        <v/>
      </c>
    </row>
    <row r="14" customFormat="false" ht="43.5" hidden="false" customHeight="true" outlineLevel="0" collapsed="false">
      <c r="A14" s="62" t="str">
        <f aca="false">'Grille d''évaluation'!A14</f>
        <v>1.11</v>
      </c>
      <c r="B14" s="63" t="str">
        <f aca="false">'Grille d''évaluation'!B14</f>
        <v>Axe 1</v>
      </c>
      <c r="C14" s="28" t="str">
        <f aca="false">'Grille d''évaluation'!C14</f>
        <v>La personne en situation de handicap ou de fragilité bénéficie d'un accompagnement supra-réglementaire respectant son autodétermination et son projet de vie.</v>
      </c>
      <c r="D14" s="64" t="n">
        <f aca="false">'Grille d''évaluation'!F14</f>
        <v>0</v>
      </c>
      <c r="E14" s="65" t="str">
        <f aca="false">'Grille d''évaluation'!E14</f>
        <v>+</v>
      </c>
      <c r="F14" s="28" t="n">
        <f aca="false">'Grille d''évaluation'!J14</f>
        <v>0</v>
      </c>
      <c r="G14" s="28" t="n">
        <f aca="false">'Grille d''évaluation'!I14</f>
        <v>0</v>
      </c>
      <c r="H14" s="66" t="n">
        <f aca="false">'Grille d''évaluation'!K14</f>
        <v>0</v>
      </c>
      <c r="I14" s="66" t="n">
        <f aca="false">'Grille d''évaluation'!L14</f>
        <v>0</v>
      </c>
      <c r="J14" s="66" t="n">
        <f aca="false">'Grille d''évaluation'!M14</f>
        <v>0</v>
      </c>
      <c r="K14" s="62" t="str">
        <f aca="false">IF(AND('Grille d''évaluation'!E14="I",OR('Grille d''évaluation'!F14="C",'Grille d''évaluation'!F14="D")),"🔴 CRITIQUE",IF('Grille d''évaluation'!F14="D","🟠 ÉLEVÉE",IF('Grille d''évaluation'!F14="C","🟡 MOYENNE",IF(OR('Grille d''évaluation'!F14="A",'Grille d''évaluation'!F14="B"),"✓ Conforme",""))))</f>
        <v/>
      </c>
    </row>
    <row r="15" customFormat="false" ht="43.5" hidden="false" customHeight="true" outlineLevel="0" collapsed="false">
      <c r="A15" s="62" t="str">
        <f aca="false">'Grille d''évaluation'!A15</f>
        <v>2.1</v>
      </c>
      <c r="B15" s="63" t="str">
        <f aca="false">'Grille d''évaluation'!B15</f>
        <v>Axe 2</v>
      </c>
      <c r="C15" s="28" t="str">
        <f aca="false">'Grille d''évaluation'!C15</f>
        <v>La personne participe aux instances collectives (CVS, groupes d'expression) ou à toute autre forme de participation.</v>
      </c>
      <c r="D15" s="64" t="n">
        <f aca="false">'Grille d''évaluation'!F15</f>
        <v>0</v>
      </c>
      <c r="E15" s="65" t="str">
        <f aca="false">'Grille d''évaluation'!E15</f>
        <v>S</v>
      </c>
      <c r="F15" s="28" t="n">
        <f aca="false">'Grille d''évaluation'!J15</f>
        <v>0</v>
      </c>
      <c r="G15" s="28" t="n">
        <f aca="false">'Grille d''évaluation'!I15</f>
        <v>0</v>
      </c>
      <c r="H15" s="66" t="n">
        <f aca="false">'Grille d''évaluation'!K15</f>
        <v>0</v>
      </c>
      <c r="I15" s="66" t="n">
        <f aca="false">'Grille d''évaluation'!L15</f>
        <v>0</v>
      </c>
      <c r="J15" s="66" t="n">
        <f aca="false">'Grille d''évaluation'!M15</f>
        <v>0</v>
      </c>
      <c r="K15" s="62" t="str">
        <f aca="false">IF(AND('Grille d''évaluation'!E15="I",OR('Grille d''évaluation'!F15="C",'Grille d''évaluation'!F15="D")),"🔴 CRITIQUE",IF('Grille d''évaluation'!F15="D","🟠 ÉLEVÉE",IF('Grille d''évaluation'!F15="C","🟡 MOYENNE",IF(OR('Grille d''évaluation'!F15="A",'Grille d''évaluation'!F15="B"),"✓ Conforme",""))))</f>
        <v/>
      </c>
    </row>
    <row r="16" customFormat="false" ht="43.5" hidden="false" customHeight="true" outlineLevel="0" collapsed="false">
      <c r="A16" s="62" t="str">
        <f aca="false">'Grille d''évaluation'!A16</f>
        <v>2.2</v>
      </c>
      <c r="B16" s="63" t="str">
        <f aca="false">'Grille d''évaluation'!B16</f>
        <v>Axe 2</v>
      </c>
      <c r="C16" s="28" t="str">
        <f aca="false">'Grille d''évaluation'!C16</f>
        <v>La personne est informée de la suite donnée aux demandes formulées dans les instances ; la traçabilité des échanges est assurée.</v>
      </c>
      <c r="D16" s="64" t="n">
        <f aca="false">'Grille d''évaluation'!F16</f>
        <v>0</v>
      </c>
      <c r="E16" s="65" t="str">
        <f aca="false">'Grille d''évaluation'!E16</f>
        <v>S</v>
      </c>
      <c r="F16" s="28" t="n">
        <f aca="false">'Grille d''évaluation'!J16</f>
        <v>0</v>
      </c>
      <c r="G16" s="28" t="n">
        <f aca="false">'Grille d''évaluation'!I16</f>
        <v>0</v>
      </c>
      <c r="H16" s="66" t="n">
        <f aca="false">'Grille d''évaluation'!K16</f>
        <v>0</v>
      </c>
      <c r="I16" s="66" t="n">
        <f aca="false">'Grille d''évaluation'!L16</f>
        <v>0</v>
      </c>
      <c r="J16" s="66" t="n">
        <f aca="false">'Grille d''évaluation'!M16</f>
        <v>0</v>
      </c>
      <c r="K16" s="62" t="str">
        <f aca="false">IF(AND('Grille d''évaluation'!E16="I",OR('Grille d''évaluation'!F16="C",'Grille d''évaluation'!F16="D")),"🔴 CRITIQUE",IF('Grille d''évaluation'!F16="D","🟠 ÉLEVÉE",IF('Grille d''évaluation'!F16="C","🟡 MOYENNE",IF(OR('Grille d''évaluation'!F16="A",'Grille d''évaluation'!F16="B"),"✓ Conforme",""))))</f>
        <v/>
      </c>
    </row>
    <row r="17" customFormat="false" ht="43.5" hidden="false" customHeight="true" outlineLevel="0" collapsed="false">
      <c r="A17" s="62" t="str">
        <f aca="false">'Grille d''évaluation'!A17</f>
        <v>2.3</v>
      </c>
      <c r="B17" s="63" t="str">
        <f aca="false">'Grille d''évaluation'!B17</f>
        <v>Axe 2</v>
      </c>
      <c r="C17" s="28" t="str">
        <f aca="false">'Grille d''évaluation'!C17</f>
        <v>L'expression de la personne est recueillie tout au long de son accompagnement avec des moyens et outils adaptés (y compris communication alternative).</v>
      </c>
      <c r="D17" s="64" t="n">
        <f aca="false">'Grille d''évaluation'!F17</f>
        <v>0</v>
      </c>
      <c r="E17" s="65" t="str">
        <f aca="false">'Grille d''évaluation'!E17</f>
        <v>S</v>
      </c>
      <c r="F17" s="28" t="n">
        <f aca="false">'Grille d''évaluation'!J17</f>
        <v>0</v>
      </c>
      <c r="G17" s="28" t="n">
        <f aca="false">'Grille d''évaluation'!I17</f>
        <v>0</v>
      </c>
      <c r="H17" s="66" t="n">
        <f aca="false">'Grille d''évaluation'!K17</f>
        <v>0</v>
      </c>
      <c r="I17" s="66" t="n">
        <f aca="false">'Grille d''évaluation'!L17</f>
        <v>0</v>
      </c>
      <c r="J17" s="66" t="n">
        <f aca="false">'Grille d''évaluation'!M17</f>
        <v>0</v>
      </c>
      <c r="K17" s="62" t="str">
        <f aca="false">IF(AND('Grille d''évaluation'!E17="I",OR('Grille d''évaluation'!F17="C",'Grille d''évaluation'!F17="D")),"🔴 CRITIQUE",IF('Grille d''évaluation'!F17="D","🟠 ÉLEVÉE",IF('Grille d''évaluation'!F17="C","🟡 MOYENNE",IF(OR('Grille d''évaluation'!F17="A",'Grille d''évaluation'!F17="B"),"✓ Conforme",""))))</f>
        <v/>
      </c>
    </row>
    <row r="18" customFormat="false" ht="43.5" hidden="false" customHeight="true" outlineLevel="0" collapsed="false">
      <c r="A18" s="62" t="str">
        <f aca="false">'Grille d''évaluation'!A18</f>
        <v>2.4</v>
      </c>
      <c r="B18" s="63" t="str">
        <f aca="false">'Grille d''évaluation'!B18</f>
        <v>Axe 2</v>
      </c>
      <c r="C18" s="28" t="str">
        <f aca="false">'Grille d''évaluation'!C18</f>
        <v>La personne exprime un consentement éclairé (ou un refus) ; sa traçabilité est assurée ; le refus est régulièrement réinterrogé.</v>
      </c>
      <c r="D18" s="64" t="n">
        <f aca="false">'Grille d''évaluation'!F18</f>
        <v>0</v>
      </c>
      <c r="E18" s="65" t="str">
        <f aca="false">'Grille d''évaluation'!E18</f>
        <v>I</v>
      </c>
      <c r="F18" s="28" t="n">
        <f aca="false">'Grille d''évaluation'!J18</f>
        <v>0</v>
      </c>
      <c r="G18" s="28" t="n">
        <f aca="false">'Grille d''évaluation'!I18</f>
        <v>0</v>
      </c>
      <c r="H18" s="66" t="n">
        <f aca="false">'Grille d''évaluation'!K18</f>
        <v>0</v>
      </c>
      <c r="I18" s="66" t="n">
        <f aca="false">'Grille d''évaluation'!L18</f>
        <v>0</v>
      </c>
      <c r="J18" s="66" t="n">
        <f aca="false">'Grille d''évaluation'!M18</f>
        <v>0</v>
      </c>
      <c r="K18" s="62" t="str">
        <f aca="false">IF(AND('Grille d''évaluation'!E18="I",OR('Grille d''évaluation'!F18="C",'Grille d''évaluation'!F18="D")),"🔴 CRITIQUE",IF('Grille d''évaluation'!F18="D","🟠 ÉLEVÉE",IF('Grille d''évaluation'!F18="C","🟡 MOYENNE",IF(OR('Grille d''évaluation'!F18="A",'Grille d''évaluation'!F18="B"),"✓ Conforme",""))))</f>
        <v/>
      </c>
    </row>
    <row r="19" customFormat="false" ht="43.5" hidden="false" customHeight="true" outlineLevel="0" collapsed="false">
      <c r="A19" s="62" t="str">
        <f aca="false">'Grille d''évaluation'!A19</f>
        <v>2.5</v>
      </c>
      <c r="B19" s="63" t="str">
        <f aca="false">'Grille d''évaluation'!B19</f>
        <v>Axe 2</v>
      </c>
      <c r="C19" s="28" t="str">
        <f aca="false">'Grille d''évaluation'!C19</f>
        <v>La personne peut maintenir et créer des liens sociaux ; elle participe à la vie sociale, sportive, culturelle et de loisirs.</v>
      </c>
      <c r="D19" s="64" t="n">
        <f aca="false">'Grille d''évaluation'!F19</f>
        <v>0</v>
      </c>
      <c r="E19" s="65" t="str">
        <f aca="false">'Grille d''évaluation'!E19</f>
        <v>S</v>
      </c>
      <c r="F19" s="28" t="n">
        <f aca="false">'Grille d''évaluation'!J19</f>
        <v>0</v>
      </c>
      <c r="G19" s="28" t="n">
        <f aca="false">'Grille d''évaluation'!I19</f>
        <v>0</v>
      </c>
      <c r="H19" s="66" t="n">
        <f aca="false">'Grille d''évaluation'!K19</f>
        <v>0</v>
      </c>
      <c r="I19" s="66" t="n">
        <f aca="false">'Grille d''évaluation'!L19</f>
        <v>0</v>
      </c>
      <c r="J19" s="66" t="n">
        <f aca="false">'Grille d''évaluation'!M19</f>
        <v>0</v>
      </c>
      <c r="K19" s="62" t="str">
        <f aca="false">IF(AND('Grille d''évaluation'!E19="I",OR('Grille d''évaluation'!F19="C",'Grille d''évaluation'!F19="D")),"🔴 CRITIQUE",IF('Grille d''évaluation'!F19="D","🟠 ÉLEVÉE",IF('Grille d''évaluation'!F19="C","🟡 MOYENNE",IF(OR('Grille d''évaluation'!F19="A",'Grille d''évaluation'!F19="B"),"✓ Conforme",""))))</f>
        <v/>
      </c>
    </row>
    <row r="20" customFormat="false" ht="43.5" hidden="false" customHeight="true" outlineLevel="0" collapsed="false">
      <c r="A20" s="62" t="str">
        <f aca="false">'Grille d''évaluation'!A20</f>
        <v>2.6</v>
      </c>
      <c r="B20" s="63" t="str">
        <f aca="false">'Grille d''évaluation'!B20</f>
        <v>Axe 2</v>
      </c>
      <c r="C20" s="28" t="str">
        <f aca="false">'Grille d''évaluation'!C20</f>
        <v>La personne est accompagnée dans sa participation à la vie citoyenne ; une éducation à la citoyenneté est proposée si nécessaire.</v>
      </c>
      <c r="D20" s="64" t="n">
        <f aca="false">'Grille d''évaluation'!F20</f>
        <v>0</v>
      </c>
      <c r="E20" s="65" t="str">
        <f aca="false">'Grille d''évaluation'!E20</f>
        <v>S</v>
      </c>
      <c r="F20" s="28" t="n">
        <f aca="false">'Grille d''évaluation'!J20</f>
        <v>0</v>
      </c>
      <c r="G20" s="28" t="n">
        <f aca="false">'Grille d''évaluation'!I20</f>
        <v>0</v>
      </c>
      <c r="H20" s="66" t="n">
        <f aca="false">'Grille d''évaluation'!K20</f>
        <v>0</v>
      </c>
      <c r="I20" s="66" t="n">
        <f aca="false">'Grille d''évaluation'!L20</f>
        <v>0</v>
      </c>
      <c r="J20" s="66" t="n">
        <f aca="false">'Grille d''évaluation'!M20</f>
        <v>0</v>
      </c>
      <c r="K20" s="62" t="str">
        <f aca="false">IF(AND('Grille d''évaluation'!E20="I",OR('Grille d''évaluation'!F20="C",'Grille d''évaluation'!F20="D")),"🔴 CRITIQUE",IF('Grille d''évaluation'!F20="D","🟠 ÉLEVÉE",IF('Grille d''évaluation'!F20="C","🟡 MOYENNE",IF(OR('Grille d''évaluation'!F20="A",'Grille d''évaluation'!F20="B"),"✓ Conforme",""))))</f>
        <v/>
      </c>
    </row>
    <row r="21" customFormat="false" ht="43.5" hidden="false" customHeight="true" outlineLevel="0" collapsed="false">
      <c r="A21" s="62" t="str">
        <f aca="false">'Grille d''évaluation'!A21</f>
        <v>2.7</v>
      </c>
      <c r="B21" s="63" t="str">
        <f aca="false">'Grille d''évaluation'!B21</f>
        <v>Axe 2</v>
      </c>
      <c r="C21" s="28" t="str">
        <f aca="false">'Grille d''évaluation'!C21</f>
        <v>L'ESSMS met à disposition des espaces de rencontre, de socialisation, d'apaisement et de bien-être.</v>
      </c>
      <c r="D21" s="64" t="n">
        <f aca="false">'Grille d''évaluation'!F21</f>
        <v>0</v>
      </c>
      <c r="E21" s="65" t="str">
        <f aca="false">'Grille d''évaluation'!E21</f>
        <v>S</v>
      </c>
      <c r="F21" s="28" t="n">
        <f aca="false">'Grille d''évaluation'!J21</f>
        <v>0</v>
      </c>
      <c r="G21" s="28" t="n">
        <f aca="false">'Grille d''évaluation'!I21</f>
        <v>0</v>
      </c>
      <c r="H21" s="66" t="n">
        <f aca="false">'Grille d''évaluation'!K21</f>
        <v>0</v>
      </c>
      <c r="I21" s="66" t="n">
        <f aca="false">'Grille d''évaluation'!L21</f>
        <v>0</v>
      </c>
      <c r="J21" s="66" t="n">
        <f aca="false">'Grille d''évaluation'!M21</f>
        <v>0</v>
      </c>
      <c r="K21" s="62" t="str">
        <f aca="false">IF(AND('Grille d''évaluation'!E21="I",OR('Grille d''évaluation'!F21="C",'Grille d''évaluation'!F21="D")),"🔴 CRITIQUE",IF('Grille d''évaluation'!F21="D","🟠 ÉLEVÉE",IF('Grille d''évaluation'!F21="C","🟡 MOYENNE",IF(OR('Grille d''évaluation'!F21="A",'Grille d''évaluation'!F21="B"),"✓ Conforme",""))))</f>
        <v/>
      </c>
    </row>
    <row r="22" customFormat="false" ht="43.5" hidden="false" customHeight="true" outlineLevel="0" collapsed="false">
      <c r="A22" s="62" t="str">
        <f aca="false">'Grille d''évaluation'!A22</f>
        <v>2.8</v>
      </c>
      <c r="B22" s="63" t="str">
        <f aca="false">'Grille d''évaluation'!B22</f>
        <v>Axe 2</v>
      </c>
      <c r="C22" s="28" t="str">
        <f aca="false">'Grille d''évaluation'!C22</f>
        <v>Le service mesure régulièrement la satisfaction de la personne, à titre individuel ET collectif, et exploite les résultats.</v>
      </c>
      <c r="D22" s="64" t="n">
        <f aca="false">'Grille d''évaluation'!F22</f>
        <v>0</v>
      </c>
      <c r="E22" s="65" t="str">
        <f aca="false">'Grille d''évaluation'!E22</f>
        <v>S</v>
      </c>
      <c r="F22" s="28" t="n">
        <f aca="false">'Grille d''évaluation'!J22</f>
        <v>0</v>
      </c>
      <c r="G22" s="28" t="n">
        <f aca="false">'Grille d''évaluation'!I22</f>
        <v>0</v>
      </c>
      <c r="H22" s="66" t="n">
        <f aca="false">'Grille d''évaluation'!K22</f>
        <v>0</v>
      </c>
      <c r="I22" s="66" t="n">
        <f aca="false">'Grille d''évaluation'!L22</f>
        <v>0</v>
      </c>
      <c r="J22" s="66" t="n">
        <f aca="false">'Grille d''évaluation'!M22</f>
        <v>0</v>
      </c>
      <c r="K22" s="62" t="str">
        <f aca="false">IF(AND('Grille d''évaluation'!E22="I",OR('Grille d''évaluation'!F22="C",'Grille d''évaluation'!F22="D")),"🔴 CRITIQUE",IF('Grille d''évaluation'!F22="D","🟠 ÉLEVÉE",IF('Grille d''évaluation'!F22="C","🟡 MOYENNE",IF(OR('Grille d''évaluation'!F22="A",'Grille d''évaluation'!F22="B"),"✓ Conforme",""))))</f>
        <v/>
      </c>
    </row>
    <row r="23" customFormat="false" ht="43.5" hidden="false" customHeight="true" outlineLevel="0" collapsed="false">
      <c r="A23" s="62" t="str">
        <f aca="false">'Grille d''évaluation'!A23</f>
        <v>3.1</v>
      </c>
      <c r="B23" s="63" t="str">
        <f aca="false">'Grille d''évaluation'!B23</f>
        <v>Axe 3</v>
      </c>
      <c r="C23" s="28" t="str">
        <f aca="false">'Grille d''évaluation'!C23</f>
        <v>La personne exprime ses attentes ; le projet d'accompagnement est coconstruit avec elle, son entourage et les professionnels en équipe.</v>
      </c>
      <c r="D23" s="64" t="n">
        <f aca="false">'Grille d''évaluation'!F23</f>
        <v>0</v>
      </c>
      <c r="E23" s="65" t="str">
        <f aca="false">'Grille d''évaluation'!E23</f>
        <v>S</v>
      </c>
      <c r="F23" s="28" t="n">
        <f aca="false">'Grille d''évaluation'!J23</f>
        <v>0</v>
      </c>
      <c r="G23" s="28" t="n">
        <f aca="false">'Grille d''évaluation'!I23</f>
        <v>0</v>
      </c>
      <c r="H23" s="66" t="n">
        <f aca="false">'Grille d''évaluation'!K23</f>
        <v>0</v>
      </c>
      <c r="I23" s="66" t="n">
        <f aca="false">'Grille d''évaluation'!L23</f>
        <v>0</v>
      </c>
      <c r="J23" s="66" t="n">
        <f aca="false">'Grille d''évaluation'!M23</f>
        <v>0</v>
      </c>
      <c r="K23" s="62" t="str">
        <f aca="false">IF(AND('Grille d''évaluation'!E23="I",OR('Grille d''évaluation'!F23="C",'Grille d''évaluation'!F23="D")),"🔴 CRITIQUE",IF('Grille d''évaluation'!F23="D","🟠 ÉLEVÉE",IF('Grille d''évaluation'!F23="C","🟡 MOYENNE",IF(OR('Grille d''évaluation'!F23="A",'Grille d''évaluation'!F23="B"),"✓ Conforme",""))))</f>
        <v/>
      </c>
    </row>
    <row r="24" customFormat="false" ht="43.5" hidden="false" customHeight="true" outlineLevel="0" collapsed="false">
      <c r="A24" s="62" t="str">
        <f aca="false">'Grille d''évaluation'!A24</f>
        <v>3.2</v>
      </c>
      <c r="B24" s="63" t="str">
        <f aca="false">'Grille d''évaluation'!B24</f>
        <v>Axe 3</v>
      </c>
      <c r="C24" s="28" t="str">
        <f aca="false">'Grille d''évaluation'!C24</f>
        <v>Les besoins sont évalués à l'aide d'outils validés ; les ressources internes et externes sont mobilisées.</v>
      </c>
      <c r="D24" s="64" t="n">
        <f aca="false">'Grille d''évaluation'!F24</f>
        <v>0</v>
      </c>
      <c r="E24" s="65" t="str">
        <f aca="false">'Grille d''évaluation'!E24</f>
        <v>S</v>
      </c>
      <c r="F24" s="28" t="n">
        <f aca="false">'Grille d''évaluation'!J24</f>
        <v>0</v>
      </c>
      <c r="G24" s="28" t="n">
        <f aca="false">'Grille d''évaluation'!I24</f>
        <v>0</v>
      </c>
      <c r="H24" s="66" t="n">
        <f aca="false">'Grille d''évaluation'!K24</f>
        <v>0</v>
      </c>
      <c r="I24" s="66" t="n">
        <f aca="false">'Grille d''évaluation'!L24</f>
        <v>0</v>
      </c>
      <c r="J24" s="66" t="n">
        <f aca="false">'Grille d''évaluation'!M24</f>
        <v>0</v>
      </c>
      <c r="K24" s="62" t="str">
        <f aca="false">IF(AND('Grille d''évaluation'!E24="I",OR('Grille d''évaluation'!F24="C",'Grille d''évaluation'!F24="D")),"🔴 CRITIQUE",IF('Grille d''évaluation'!F24="D","🟠 ÉLEVÉE",IF('Grille d''évaluation'!F24="C","🟡 MOYENNE",IF(OR('Grille d''évaluation'!F24="A",'Grille d''évaluation'!F24="B"),"✓ Conforme",""))))</f>
        <v/>
      </c>
    </row>
    <row r="25" customFormat="false" ht="43.5" hidden="false" customHeight="true" outlineLevel="0" collapsed="false">
      <c r="A25" s="62" t="str">
        <f aca="false">'Grille d''évaluation'!A25</f>
        <v>3.3</v>
      </c>
      <c r="B25" s="63" t="str">
        <f aca="false">'Grille d''évaluation'!B25</f>
        <v>Axe 3</v>
      </c>
      <c r="C25" s="28" t="str">
        <f aca="false">'Grille d''évaluation'!C25</f>
        <v>Le projet d'accompagnement est tracé et réévalué chaque fois que nécessaire, et au minimum une fois par an.</v>
      </c>
      <c r="D25" s="64" t="n">
        <f aca="false">'Grille d''évaluation'!F25</f>
        <v>0</v>
      </c>
      <c r="E25" s="65" t="str">
        <f aca="false">'Grille d''évaluation'!E25</f>
        <v>I</v>
      </c>
      <c r="F25" s="28" t="n">
        <f aca="false">'Grille d''évaluation'!J25</f>
        <v>0</v>
      </c>
      <c r="G25" s="28" t="n">
        <f aca="false">'Grille d''évaluation'!I25</f>
        <v>0</v>
      </c>
      <c r="H25" s="66" t="n">
        <f aca="false">'Grille d''évaluation'!K25</f>
        <v>0</v>
      </c>
      <c r="I25" s="66" t="n">
        <f aca="false">'Grille d''évaluation'!L25</f>
        <v>0</v>
      </c>
      <c r="J25" s="66" t="n">
        <f aca="false">'Grille d''évaluation'!M25</f>
        <v>0</v>
      </c>
      <c r="K25" s="62" t="str">
        <f aca="false">IF(AND('Grille d''évaluation'!E25="I",OR('Grille d''évaluation'!F25="C",'Grille d''évaluation'!F25="D")),"🔴 CRITIQUE",IF('Grille d''évaluation'!F25="D","🟠 ÉLEVÉE",IF('Grille d''évaluation'!F25="C","🟡 MOYENNE",IF(OR('Grille d''évaluation'!F25="A",'Grille d''évaluation'!F25="B"),"✓ Conforme",""))))</f>
        <v/>
      </c>
    </row>
    <row r="26" customFormat="false" ht="43.5" hidden="false" customHeight="true" outlineLevel="0" collapsed="false">
      <c r="A26" s="62" t="str">
        <f aca="false">'Grille d''évaluation'!A26</f>
        <v>3.4</v>
      </c>
      <c r="B26" s="63" t="str">
        <f aca="false">'Grille d''évaluation'!B26</f>
        <v>Axe 3</v>
      </c>
      <c r="C26" s="28" t="str">
        <f aca="false">'Grille d''évaluation'!C26</f>
        <v>L'entourage est associé à l'accompagnement ; il est orienté vers les dispositifs de prévention, soutien et répit.</v>
      </c>
      <c r="D26" s="64" t="n">
        <f aca="false">'Grille d''évaluation'!F26</f>
        <v>0</v>
      </c>
      <c r="E26" s="65" t="str">
        <f aca="false">'Grille d''évaluation'!E26</f>
        <v>S</v>
      </c>
      <c r="F26" s="28" t="n">
        <f aca="false">'Grille d''évaluation'!J26</f>
        <v>0</v>
      </c>
      <c r="G26" s="28" t="n">
        <f aca="false">'Grille d''évaluation'!I26</f>
        <v>0</v>
      </c>
      <c r="H26" s="66" t="n">
        <f aca="false">'Grille d''évaluation'!K26</f>
        <v>0</v>
      </c>
      <c r="I26" s="66" t="n">
        <f aca="false">'Grille d''évaluation'!L26</f>
        <v>0</v>
      </c>
      <c r="J26" s="66" t="n">
        <f aca="false">'Grille d''évaluation'!M26</f>
        <v>0</v>
      </c>
      <c r="K26" s="62" t="str">
        <f aca="false">IF(AND('Grille d''évaluation'!E26="I",OR('Grille d''évaluation'!F26="C",'Grille d''évaluation'!F26="D")),"🔴 CRITIQUE",IF('Grille d''évaluation'!F26="D","🟠 ÉLEVÉE",IF('Grille d''évaluation'!F26="C","🟡 MOYENNE",IF(OR('Grille d''évaluation'!F26="A",'Grille d''évaluation'!F26="B"),"✓ Conforme",""))))</f>
        <v/>
      </c>
    </row>
    <row r="27" customFormat="false" ht="43.5" hidden="false" customHeight="true" outlineLevel="0" collapsed="false">
      <c r="A27" s="62" t="str">
        <f aca="false">'Grille d''évaluation'!A27</f>
        <v>3.5</v>
      </c>
      <c r="B27" s="63" t="str">
        <f aca="false">'Grille d''évaluation'!B27</f>
        <v>Axe 3</v>
      </c>
      <c r="C27" s="28" t="str">
        <f aca="false">'Grille d''évaluation'!C27</f>
        <v>Le projet est adapté aux risques (fugue, addictions, chutes, dénutrition, sexualité, harcèlement, radicalisation, etc.).</v>
      </c>
      <c r="D27" s="64" t="n">
        <f aca="false">'Grille d''évaluation'!F27</f>
        <v>0</v>
      </c>
      <c r="E27" s="65" t="str">
        <f aca="false">'Grille d''évaluation'!E27</f>
        <v>S</v>
      </c>
      <c r="F27" s="28" t="n">
        <f aca="false">'Grille d''évaluation'!J27</f>
        <v>0</v>
      </c>
      <c r="G27" s="28" t="n">
        <f aca="false">'Grille d''évaluation'!I27</f>
        <v>0</v>
      </c>
      <c r="H27" s="66" t="n">
        <f aca="false">'Grille d''évaluation'!K27</f>
        <v>0</v>
      </c>
      <c r="I27" s="66" t="n">
        <f aca="false">'Grille d''évaluation'!L27</f>
        <v>0</v>
      </c>
      <c r="J27" s="66" t="n">
        <f aca="false">'Grille d''évaluation'!M27</f>
        <v>0</v>
      </c>
      <c r="K27" s="62" t="str">
        <f aca="false">IF(AND('Grille d''évaluation'!E27="I",OR('Grille d''évaluation'!F27="C",'Grille d''évaluation'!F27="D")),"🔴 CRITIQUE",IF('Grille d''évaluation'!F27="D","🟠 ÉLEVÉE",IF('Grille d''évaluation'!F27="C","🟡 MOYENNE",IF(OR('Grille d''évaluation'!F27="A",'Grille d''évaluation'!F27="B"),"✓ Conforme",""))))</f>
        <v/>
      </c>
    </row>
    <row r="28" customFormat="false" ht="43.5" hidden="false" customHeight="true" outlineLevel="0" collapsed="false">
      <c r="A28" s="62" t="str">
        <f aca="false">'Grille d''évaluation'!A28</f>
        <v>3.6</v>
      </c>
      <c r="B28" s="63" t="str">
        <f aca="false">'Grille d''évaluation'!B28</f>
        <v>Axe 3</v>
      </c>
      <c r="C28" s="28" t="str">
        <f aca="false">'Grille d''évaluation'!C28</f>
        <v>Pour les personnes en situation de handicap : projet de vie et rythme pris en compte ; l'accompagnement s'appuie sur les RBPP de la HAS.</v>
      </c>
      <c r="D28" s="64" t="n">
        <f aca="false">'Grille d''évaluation'!F28</f>
        <v>0</v>
      </c>
      <c r="E28" s="65" t="str">
        <f aca="false">'Grille d''évaluation'!E28</f>
        <v>+</v>
      </c>
      <c r="F28" s="28" t="n">
        <f aca="false">'Grille d''évaluation'!J28</f>
        <v>0</v>
      </c>
      <c r="G28" s="28" t="n">
        <f aca="false">'Grille d''évaluation'!I28</f>
        <v>0</v>
      </c>
      <c r="H28" s="66" t="n">
        <f aca="false">'Grille d''évaluation'!K28</f>
        <v>0</v>
      </c>
      <c r="I28" s="66" t="n">
        <f aca="false">'Grille d''évaluation'!L28</f>
        <v>0</v>
      </c>
      <c r="J28" s="66" t="n">
        <f aca="false">'Grille d''évaluation'!M28</f>
        <v>0</v>
      </c>
      <c r="K28" s="62" t="str">
        <f aca="false">IF(AND('Grille d''évaluation'!E28="I",OR('Grille d''évaluation'!F28="C",'Grille d''évaluation'!F28="D")),"🔴 CRITIQUE",IF('Grille d''évaluation'!F28="D","🟠 ÉLEVÉE",IF('Grille d''évaluation'!F28="C","🟡 MOYENNE",IF(OR('Grille d''évaluation'!F28="A",'Grille d''évaluation'!F28="B"),"✓ Conforme",""))))</f>
        <v/>
      </c>
    </row>
    <row r="29" customFormat="false" ht="43.5" hidden="false" customHeight="true" outlineLevel="0" collapsed="false">
      <c r="A29" s="62" t="str">
        <f aca="false">'Grille d''évaluation'!A29</f>
        <v>3.7</v>
      </c>
      <c r="B29" s="63" t="str">
        <f aca="false">'Grille d''évaluation'!B29</f>
        <v>Axe 3</v>
      </c>
      <c r="C29" s="28" t="str">
        <f aca="false">'Grille d''évaluation'!C29</f>
        <v>L'ESSMS coconstruit sa stratégie d'accompagnement dans une approche inclusive et s'inscrit dans des partenariats territoriaux.</v>
      </c>
      <c r="D29" s="64" t="n">
        <f aca="false">'Grille d''évaluation'!F29</f>
        <v>0</v>
      </c>
      <c r="E29" s="65" t="str">
        <f aca="false">'Grille d''évaluation'!E29</f>
        <v>S</v>
      </c>
      <c r="F29" s="28" t="n">
        <f aca="false">'Grille d''évaluation'!J29</f>
        <v>0</v>
      </c>
      <c r="G29" s="28" t="n">
        <f aca="false">'Grille d''évaluation'!I29</f>
        <v>0</v>
      </c>
      <c r="H29" s="66" t="n">
        <f aca="false">'Grille d''évaluation'!K29</f>
        <v>0</v>
      </c>
      <c r="I29" s="66" t="n">
        <f aca="false">'Grille d''évaluation'!L29</f>
        <v>0</v>
      </c>
      <c r="J29" s="66" t="n">
        <f aca="false">'Grille d''évaluation'!M29</f>
        <v>0</v>
      </c>
      <c r="K29" s="62" t="str">
        <f aca="false">IF(AND('Grille d''évaluation'!E29="I",OR('Grille d''évaluation'!F29="C",'Grille d''évaluation'!F29="D")),"🔴 CRITIQUE",IF('Grille d''évaluation'!F29="D","🟠 ÉLEVÉE",IF('Grille d''évaluation'!F29="C","🟡 MOYENNE",IF(OR('Grille d''évaluation'!F29="A",'Grille d''évaluation'!F29="B"),"✓ Conforme",""))))</f>
        <v/>
      </c>
    </row>
    <row r="30" customFormat="false" ht="43.5" hidden="false" customHeight="true" outlineLevel="0" collapsed="false">
      <c r="A30" s="62" t="str">
        <f aca="false">'Grille d''évaluation'!A30</f>
        <v>4.1</v>
      </c>
      <c r="B30" s="63" t="str">
        <f aca="false">'Grille d''évaluation'!B30</f>
        <v>Axe 4</v>
      </c>
      <c r="C30" s="28" t="str">
        <f aca="false">'Grille d''évaluation'!C30</f>
        <v>Les besoins en matière d'autonomie sont évalués régulièrement ; les attentes de la personne sont recueillies.</v>
      </c>
      <c r="D30" s="64" t="n">
        <f aca="false">'Grille d''évaluation'!F30</f>
        <v>0</v>
      </c>
      <c r="E30" s="65" t="str">
        <f aca="false">'Grille d''évaluation'!E30</f>
        <v>S</v>
      </c>
      <c r="F30" s="28" t="n">
        <f aca="false">'Grille d''évaluation'!J30</f>
        <v>0</v>
      </c>
      <c r="G30" s="28" t="n">
        <f aca="false">'Grille d''évaluation'!I30</f>
        <v>0</v>
      </c>
      <c r="H30" s="66" t="n">
        <f aca="false">'Grille d''évaluation'!K30</f>
        <v>0</v>
      </c>
      <c r="I30" s="66" t="n">
        <f aca="false">'Grille d''évaluation'!L30</f>
        <v>0</v>
      </c>
      <c r="J30" s="66" t="n">
        <f aca="false">'Grille d''évaluation'!M30</f>
        <v>0</v>
      </c>
      <c r="K30" s="62" t="str">
        <f aca="false">IF(AND('Grille d''évaluation'!E30="I",OR('Grille d''évaluation'!F30="C",'Grille d''évaluation'!F30="D")),"🔴 CRITIQUE",IF('Grille d''évaluation'!F30="D","🟠 ÉLEVÉE",IF('Grille d''évaluation'!F30="C","🟡 MOYENNE",IF(OR('Grille d''évaluation'!F30="A",'Grille d''évaluation'!F30="B"),"✓ Conforme",""))))</f>
        <v/>
      </c>
    </row>
    <row r="31" customFormat="false" ht="43.5" hidden="false" customHeight="true" outlineLevel="0" collapsed="false">
      <c r="A31" s="62" t="str">
        <f aca="false">'Grille d''évaluation'!A31</f>
        <v>4.2</v>
      </c>
      <c r="B31" s="63" t="str">
        <f aca="false">'Grille d''évaluation'!B31</f>
        <v>Axe 4</v>
      </c>
      <c r="C31" s="28" t="str">
        <f aca="false">'Grille d''évaluation'!C31</f>
        <v>Les risques de perte d'autonomie et d'isolement social sont repérés de manière précoce ; les personnes-ressources alertées.</v>
      </c>
      <c r="D31" s="64" t="n">
        <f aca="false">'Grille d''évaluation'!F31</f>
        <v>0</v>
      </c>
      <c r="E31" s="65" t="str">
        <f aca="false">'Grille d''évaluation'!E31</f>
        <v>S</v>
      </c>
      <c r="F31" s="28" t="n">
        <f aca="false">'Grille d''évaluation'!J31</f>
        <v>0</v>
      </c>
      <c r="G31" s="28" t="n">
        <f aca="false">'Grille d''évaluation'!I31</f>
        <v>0</v>
      </c>
      <c r="H31" s="66" t="n">
        <f aca="false">'Grille d''évaluation'!K31</f>
        <v>0</v>
      </c>
      <c r="I31" s="66" t="n">
        <f aca="false">'Grille d''évaluation'!L31</f>
        <v>0</v>
      </c>
      <c r="J31" s="66" t="n">
        <f aca="false">'Grille d''évaluation'!M31</f>
        <v>0</v>
      </c>
      <c r="K31" s="62" t="str">
        <f aca="false">IF(AND('Grille d''évaluation'!E31="I",OR('Grille d''évaluation'!F31="C",'Grille d''évaluation'!F31="D")),"🔴 CRITIQUE",IF('Grille d''évaluation'!F31="D","🟠 ÉLEVÉE",IF('Grille d''évaluation'!F31="C","🟡 MOYENNE",IF(OR('Grille d''évaluation'!F31="A",'Grille d''évaluation'!F31="B"),"✓ Conforme",""))))</f>
        <v/>
      </c>
    </row>
    <row r="32" customFormat="false" ht="43.5" hidden="false" customHeight="true" outlineLevel="0" collapsed="false">
      <c r="A32" s="62" t="str">
        <f aca="false">'Grille d''évaluation'!A32</f>
        <v>4.3</v>
      </c>
      <c r="B32" s="63" t="str">
        <f aca="false">'Grille d''évaluation'!B32</f>
        <v>Axe 4</v>
      </c>
      <c r="C32" s="28" t="str">
        <f aca="false">'Grille d''évaluation'!C32</f>
        <v>La personne est accompagnée pour accéder ou se maintenir dans son logement (y compris habitat inclusif).</v>
      </c>
      <c r="D32" s="64" t="n">
        <f aca="false">'Grille d''évaluation'!F32</f>
        <v>0</v>
      </c>
      <c r="E32" s="65" t="str">
        <f aca="false">'Grille d''évaluation'!E32</f>
        <v>S</v>
      </c>
      <c r="F32" s="28" t="n">
        <f aca="false">'Grille d''évaluation'!J32</f>
        <v>0</v>
      </c>
      <c r="G32" s="28" t="n">
        <f aca="false">'Grille d''évaluation'!I32</f>
        <v>0</v>
      </c>
      <c r="H32" s="66" t="n">
        <f aca="false">'Grille d''évaluation'!K32</f>
        <v>0</v>
      </c>
      <c r="I32" s="66" t="n">
        <f aca="false">'Grille d''évaluation'!L32</f>
        <v>0</v>
      </c>
      <c r="J32" s="66" t="n">
        <f aca="false">'Grille d''évaluation'!M32</f>
        <v>0</v>
      </c>
      <c r="K32" s="62" t="str">
        <f aca="false">IF(AND('Grille d''évaluation'!E32="I",OR('Grille d''évaluation'!F32="C",'Grille d''évaluation'!F32="D")),"🔴 CRITIQUE",IF('Grille d''évaluation'!F32="D","🟠 ÉLEVÉE",IF('Grille d''évaluation'!F32="C","🟡 MOYENNE",IF(OR('Grille d''évaluation'!F32="A",'Grille d''évaluation'!F32="B"),"✓ Conforme",""))))</f>
        <v/>
      </c>
    </row>
    <row r="33" customFormat="false" ht="43.5" hidden="false" customHeight="true" outlineLevel="0" collapsed="false">
      <c r="A33" s="62" t="str">
        <f aca="false">'Grille d''évaluation'!A33</f>
        <v>4.4</v>
      </c>
      <c r="B33" s="63" t="str">
        <f aca="false">'Grille d''évaluation'!B33</f>
        <v>Axe 4</v>
      </c>
      <c r="C33" s="28" t="str">
        <f aca="false">'Grille d''évaluation'!C33</f>
        <v>Les professionnels soutiennent la personne dans son parcours scolaire et/ou professionnel, en lien avec les partenaires.</v>
      </c>
      <c r="D33" s="64" t="n">
        <f aca="false">'Grille d''évaluation'!F33</f>
        <v>0</v>
      </c>
      <c r="E33" s="65" t="str">
        <f aca="false">'Grille d''évaluation'!E33</f>
        <v>S</v>
      </c>
      <c r="F33" s="28" t="n">
        <f aca="false">'Grille d''évaluation'!J33</f>
        <v>0</v>
      </c>
      <c r="G33" s="28" t="n">
        <f aca="false">'Grille d''évaluation'!I33</f>
        <v>0</v>
      </c>
      <c r="H33" s="66" t="n">
        <f aca="false">'Grille d''évaluation'!K33</f>
        <v>0</v>
      </c>
      <c r="I33" s="66" t="n">
        <f aca="false">'Grille d''évaluation'!L33</f>
        <v>0</v>
      </c>
      <c r="J33" s="66" t="n">
        <f aca="false">'Grille d''évaluation'!M33</f>
        <v>0</v>
      </c>
      <c r="K33" s="62" t="str">
        <f aca="false">IF(AND('Grille d''évaluation'!E33="I",OR('Grille d''évaluation'!F33="C",'Grille d''évaluation'!F33="D")),"🔴 CRITIQUE",IF('Grille d''évaluation'!F33="D","🟠 ÉLEVÉE",IF('Grille d''évaluation'!F33="C","🟡 MOYENNE",IF(OR('Grille d''évaluation'!F33="A",'Grille d''évaluation'!F33="B"),"✓ Conforme",""))))</f>
        <v/>
      </c>
    </row>
    <row r="34" customFormat="false" ht="43.5" hidden="false" customHeight="true" outlineLevel="0" collapsed="false">
      <c r="A34" s="62" t="str">
        <f aca="false">'Grille d''évaluation'!A34</f>
        <v>4.5</v>
      </c>
      <c r="B34" s="63" t="str">
        <f aca="false">'Grille d''évaluation'!B34</f>
        <v>Axe 4</v>
      </c>
      <c r="C34" s="28" t="str">
        <f aca="false">'Grille d''évaluation'!C34</f>
        <v>L'ESSMS définit et déploie une stratégie de préservation de l'autonomie et de prévention de l'isolement.</v>
      </c>
      <c r="D34" s="64" t="n">
        <f aca="false">'Grille d''évaluation'!F34</f>
        <v>0</v>
      </c>
      <c r="E34" s="65" t="str">
        <f aca="false">'Grille d''évaluation'!E34</f>
        <v>S</v>
      </c>
      <c r="F34" s="28" t="n">
        <f aca="false">'Grille d''évaluation'!J34</f>
        <v>0</v>
      </c>
      <c r="G34" s="28" t="n">
        <f aca="false">'Grille d''évaluation'!I34</f>
        <v>0</v>
      </c>
      <c r="H34" s="66" t="n">
        <f aca="false">'Grille d''évaluation'!K34</f>
        <v>0</v>
      </c>
      <c r="I34" s="66" t="n">
        <f aca="false">'Grille d''évaluation'!L34</f>
        <v>0</v>
      </c>
      <c r="J34" s="66" t="n">
        <f aca="false">'Grille d''évaluation'!M34</f>
        <v>0</v>
      </c>
      <c r="K34" s="62" t="str">
        <f aca="false">IF(AND('Grille d''évaluation'!E34="I",OR('Grille d''évaluation'!F34="C",'Grille d''évaluation'!F34="D")),"🔴 CRITIQUE",IF('Grille d''évaluation'!F34="D","🟠 ÉLEVÉE",IF('Grille d''évaluation'!F34="C","🟡 MOYENNE",IF(OR('Grille d''évaluation'!F34="A",'Grille d''évaluation'!F34="B"),"✓ Conforme",""))))</f>
        <v/>
      </c>
    </row>
    <row r="35" customFormat="false" ht="43.5" hidden="false" customHeight="true" outlineLevel="0" collapsed="false">
      <c r="A35" s="62" t="str">
        <f aca="false">'Grille d''évaluation'!A35</f>
        <v>5.1</v>
      </c>
      <c r="B35" s="63" t="str">
        <f aca="false">'Grille d''évaluation'!B35</f>
        <v>Axe 5</v>
      </c>
      <c r="C35" s="28" t="str">
        <f aca="false">'Grille d''évaluation'!C35</f>
        <v>La personne participe à la définition de ses besoins en prévention et éducation à la santé ; un programme adapté est mis en œuvre ou proposé.</v>
      </c>
      <c r="D35" s="64" t="n">
        <f aca="false">'Grille d''évaluation'!F35</f>
        <v>0</v>
      </c>
      <c r="E35" s="65" t="str">
        <f aca="false">'Grille d''évaluation'!E35</f>
        <v>S</v>
      </c>
      <c r="F35" s="28" t="n">
        <f aca="false">'Grille d''évaluation'!J35</f>
        <v>0</v>
      </c>
      <c r="G35" s="28" t="n">
        <f aca="false">'Grille d''évaluation'!I35</f>
        <v>0</v>
      </c>
      <c r="H35" s="66" t="n">
        <f aca="false">'Grille d''évaluation'!K35</f>
        <v>0</v>
      </c>
      <c r="I35" s="66" t="n">
        <f aca="false">'Grille d''évaluation'!L35</f>
        <v>0</v>
      </c>
      <c r="J35" s="66" t="n">
        <f aca="false">'Grille d''évaluation'!M35</f>
        <v>0</v>
      </c>
      <c r="K35" s="62" t="str">
        <f aca="false">IF(AND('Grille d''évaluation'!E35="I",OR('Grille d''évaluation'!F35="C",'Grille d''évaluation'!F35="D")),"🔴 CRITIQUE",IF('Grille d''évaluation'!F35="D","🟠 ÉLEVÉE",IF('Grille d''évaluation'!F35="C","🟡 MOYENNE",IF(OR('Grille d''évaluation'!F35="A",'Grille d''évaluation'!F35="B"),"✓ Conforme",""))))</f>
        <v/>
      </c>
    </row>
    <row r="36" customFormat="false" ht="43.5" hidden="false" customHeight="true" outlineLevel="0" collapsed="false">
      <c r="A36" s="62" t="str">
        <f aca="false">'Grille d''évaluation'!A36</f>
        <v>5.2</v>
      </c>
      <c r="B36" s="63" t="str">
        <f aca="false">'Grille d''évaluation'!B36</f>
        <v>Axe 5</v>
      </c>
      <c r="C36" s="28" t="str">
        <f aca="false">'Grille d''évaluation'!C36</f>
        <v>La personne est informée des soins proposés selon des modalités adaptées ; un temps d'échange et de soutien est organisé.</v>
      </c>
      <c r="D36" s="64" t="n">
        <f aca="false">'Grille d''évaluation'!F36</f>
        <v>0</v>
      </c>
      <c r="E36" s="65" t="str">
        <f aca="false">'Grille d''évaluation'!E36</f>
        <v>S</v>
      </c>
      <c r="F36" s="28" t="n">
        <f aca="false">'Grille d''évaluation'!J36</f>
        <v>0</v>
      </c>
      <c r="G36" s="28" t="n">
        <f aca="false">'Grille d''évaluation'!I36</f>
        <v>0</v>
      </c>
      <c r="H36" s="66" t="n">
        <f aca="false">'Grille d''évaluation'!K36</f>
        <v>0</v>
      </c>
      <c r="I36" s="66" t="n">
        <f aca="false">'Grille d''évaluation'!L36</f>
        <v>0</v>
      </c>
      <c r="J36" s="66" t="n">
        <f aca="false">'Grille d''évaluation'!M36</f>
        <v>0</v>
      </c>
      <c r="K36" s="62" t="str">
        <f aca="false">IF(AND('Grille d''évaluation'!E36="I",OR('Grille d''évaluation'!F36="C",'Grille d''évaluation'!F36="D")),"🔴 CRITIQUE",IF('Grille d''évaluation'!F36="D","🟠 ÉLEVÉE",IF('Grille d''évaluation'!F36="C","🟡 MOYENNE",IF(OR('Grille d''évaluation'!F36="A",'Grille d''évaluation'!F36="B"),"✓ Conforme",""))))</f>
        <v/>
      </c>
    </row>
    <row r="37" customFormat="false" ht="43.5" hidden="false" customHeight="true" outlineLevel="0" collapsed="false">
      <c r="A37" s="62" t="str">
        <f aca="false">'Grille d''évaluation'!A37</f>
        <v>5.3</v>
      </c>
      <c r="B37" s="63" t="str">
        <f aca="false">'Grille d''évaluation'!B37</f>
        <v>Axe 5</v>
      </c>
      <c r="C37" s="28" t="str">
        <f aca="false">'Grille d''évaluation'!C37</f>
        <v>La personne est associée à la gestion de son traitement médicamenteux pour favoriser sa compréhension, son adhésion et la continuité.</v>
      </c>
      <c r="D37" s="64" t="n">
        <f aca="false">'Grille d''évaluation'!F37</f>
        <v>0</v>
      </c>
      <c r="E37" s="65" t="str">
        <f aca="false">'Grille d''évaluation'!E37</f>
        <v>I</v>
      </c>
      <c r="F37" s="28" t="n">
        <f aca="false">'Grille d''évaluation'!J37</f>
        <v>0</v>
      </c>
      <c r="G37" s="28" t="n">
        <f aca="false">'Grille d''évaluation'!I37</f>
        <v>0</v>
      </c>
      <c r="H37" s="66" t="n">
        <f aca="false">'Grille d''évaluation'!K37</f>
        <v>0</v>
      </c>
      <c r="I37" s="66" t="n">
        <f aca="false">'Grille d''évaluation'!L37</f>
        <v>0</v>
      </c>
      <c r="J37" s="66" t="n">
        <f aca="false">'Grille d''évaluation'!M37</f>
        <v>0</v>
      </c>
      <c r="K37" s="62" t="str">
        <f aca="false">IF(AND('Grille d''évaluation'!E37="I",OR('Grille d''évaluation'!F37="C",'Grille d''évaluation'!F37="D")),"🔴 CRITIQUE",IF('Grille d''évaluation'!F37="D","🟠 ÉLEVÉE",IF('Grille d''évaluation'!F37="C","🟡 MOYENNE",IF(OR('Grille d''évaluation'!F37="A",'Grille d''évaluation'!F37="B"),"✓ Conforme",""))))</f>
        <v/>
      </c>
    </row>
    <row r="38" customFormat="false" ht="43.5" hidden="false" customHeight="true" outlineLevel="0" collapsed="false">
      <c r="A38" s="62" t="str">
        <f aca="false">'Grille d''évaluation'!A38</f>
        <v>5.4</v>
      </c>
      <c r="B38" s="63" t="str">
        <f aca="false">'Grille d''évaluation'!B38</f>
        <v>Axe 5</v>
      </c>
      <c r="C38" s="28" t="str">
        <f aca="false">'Grille d''évaluation'!C38</f>
        <v>L'ESSMS définit et déploie sa stratégie de gestion du risque médicamenteux (circuit du médicament, iatrogénie).</v>
      </c>
      <c r="D38" s="64" t="n">
        <f aca="false">'Grille d''évaluation'!F38</f>
        <v>0</v>
      </c>
      <c r="E38" s="65" t="str">
        <f aca="false">'Grille d''évaluation'!E38</f>
        <v>I</v>
      </c>
      <c r="F38" s="28" t="n">
        <f aca="false">'Grille d''évaluation'!J38</f>
        <v>0</v>
      </c>
      <c r="G38" s="28" t="n">
        <f aca="false">'Grille d''évaluation'!I38</f>
        <v>0</v>
      </c>
      <c r="H38" s="66" t="n">
        <f aca="false">'Grille d''évaluation'!K38</f>
        <v>0</v>
      </c>
      <c r="I38" s="66" t="n">
        <f aca="false">'Grille d''évaluation'!L38</f>
        <v>0</v>
      </c>
      <c r="J38" s="66" t="n">
        <f aca="false">'Grille d''évaluation'!M38</f>
        <v>0</v>
      </c>
      <c r="K38" s="62" t="str">
        <f aca="false">IF(AND('Grille d''évaluation'!E38="I",OR('Grille d''évaluation'!F38="C",'Grille d''évaluation'!F38="D")),"🔴 CRITIQUE",IF('Grille d''évaluation'!F38="D","🟠 ÉLEVÉE",IF('Grille d''évaluation'!F38="C","🟡 MOYENNE",IF(OR('Grille d''évaluation'!F38="A",'Grille d''évaluation'!F38="B"),"✓ Conforme",""))))</f>
        <v/>
      </c>
    </row>
    <row r="39" customFormat="false" ht="43.5" hidden="false" customHeight="true" outlineLevel="0" collapsed="false">
      <c r="A39" s="62" t="str">
        <f aca="false">'Grille d''évaluation'!A39</f>
        <v>5.5</v>
      </c>
      <c r="B39" s="63" t="str">
        <f aca="false">'Grille d''évaluation'!B39</f>
        <v>Axe 5</v>
      </c>
      <c r="C39" s="28" t="str">
        <f aca="false">'Grille d''évaluation'!C39</f>
        <v>L'ESSMS définit et déploie sa stratégie de prévention et de maîtrise du risque infectieux.</v>
      </c>
      <c r="D39" s="64" t="n">
        <f aca="false">'Grille d''évaluation'!F39</f>
        <v>0</v>
      </c>
      <c r="E39" s="65" t="str">
        <f aca="false">'Grille d''évaluation'!E39</f>
        <v>I</v>
      </c>
      <c r="F39" s="28" t="n">
        <f aca="false">'Grille d''évaluation'!J39</f>
        <v>0</v>
      </c>
      <c r="G39" s="28" t="n">
        <f aca="false">'Grille d''évaluation'!I39</f>
        <v>0</v>
      </c>
      <c r="H39" s="66" t="n">
        <f aca="false">'Grille d''évaluation'!K39</f>
        <v>0</v>
      </c>
      <c r="I39" s="66" t="n">
        <f aca="false">'Grille d''évaluation'!L39</f>
        <v>0</v>
      </c>
      <c r="J39" s="66" t="n">
        <f aca="false">'Grille d''évaluation'!M39</f>
        <v>0</v>
      </c>
      <c r="K39" s="62" t="str">
        <f aca="false">IF(AND('Grille d''évaluation'!E39="I",OR('Grille d''évaluation'!F39="C",'Grille d''évaluation'!F39="D")),"🔴 CRITIQUE",IF('Grille d''évaluation'!F39="D","🟠 ÉLEVÉE",IF('Grille d''évaluation'!F39="C","🟡 MOYENNE",IF(OR('Grille d''évaluation'!F39="A",'Grille d''évaluation'!F39="B"),"✓ Conforme",""))))</f>
        <v/>
      </c>
    </row>
    <row r="40" customFormat="false" ht="43.5" hidden="false" customHeight="true" outlineLevel="0" collapsed="false">
      <c r="A40" s="62" t="str">
        <f aca="false">'Grille d''évaluation'!A40</f>
        <v>5.6</v>
      </c>
      <c r="B40" s="63" t="str">
        <f aca="false">'Grille d''évaluation'!B40</f>
        <v>Axe 5</v>
      </c>
      <c r="C40" s="28" t="str">
        <f aca="false">'Grille d''évaluation'!C40</f>
        <v>La douleur est repérée, évaluée régulièrement et tracée ; une stratégie de prise en charge est coconstruite avec la personne.</v>
      </c>
      <c r="D40" s="64" t="n">
        <f aca="false">'Grille d''évaluation'!F40</f>
        <v>0</v>
      </c>
      <c r="E40" s="65" t="str">
        <f aca="false">'Grille d''évaluation'!E40</f>
        <v>I</v>
      </c>
      <c r="F40" s="28" t="n">
        <f aca="false">'Grille d''évaluation'!J40</f>
        <v>0</v>
      </c>
      <c r="G40" s="28" t="n">
        <f aca="false">'Grille d''évaluation'!I40</f>
        <v>0</v>
      </c>
      <c r="H40" s="66" t="n">
        <f aca="false">'Grille d''évaluation'!K40</f>
        <v>0</v>
      </c>
      <c r="I40" s="66" t="n">
        <f aca="false">'Grille d''évaluation'!L40</f>
        <v>0</v>
      </c>
      <c r="J40" s="66" t="n">
        <f aca="false">'Grille d''évaluation'!M40</f>
        <v>0</v>
      </c>
      <c r="K40" s="62" t="str">
        <f aca="false">IF(AND('Grille d''évaluation'!E40="I",OR('Grille d''évaluation'!F40="C",'Grille d''évaluation'!F40="D")),"🔴 CRITIQUE",IF('Grille d''évaluation'!F40="D","🟠 ÉLEVÉE",IF('Grille d''évaluation'!F40="C","🟡 MOYENNE",IF(OR('Grille d''évaluation'!F40="A",'Grille d''évaluation'!F40="B"),"✓ Conforme",""))))</f>
        <v/>
      </c>
    </row>
    <row r="41" customFormat="false" ht="43.5" hidden="false" customHeight="true" outlineLevel="0" collapsed="false">
      <c r="A41" s="62" t="str">
        <f aca="false">'Grille d''évaluation'!A41</f>
        <v>5.7</v>
      </c>
      <c r="B41" s="63" t="str">
        <f aca="false">'Grille d''évaluation'!B41</f>
        <v>Axe 5</v>
      </c>
      <c r="C41" s="28" t="str">
        <f aca="false">'Grille d''évaluation'!C41</f>
        <v>Les besoins d'accompagnement en santé mentale sont repérés, évalués et tracés ; un projet d'accompagnement spécifique est coconstruit.</v>
      </c>
      <c r="D41" s="64" t="n">
        <f aca="false">'Grille d''évaluation'!F41</f>
        <v>0</v>
      </c>
      <c r="E41" s="65" t="str">
        <f aca="false">'Grille d''évaluation'!E41</f>
        <v>S</v>
      </c>
      <c r="F41" s="28" t="n">
        <f aca="false">'Grille d''évaluation'!J41</f>
        <v>0</v>
      </c>
      <c r="G41" s="28" t="n">
        <f aca="false">'Grille d''évaluation'!I41</f>
        <v>0</v>
      </c>
      <c r="H41" s="66" t="n">
        <f aca="false">'Grille d''évaluation'!K41</f>
        <v>0</v>
      </c>
      <c r="I41" s="66" t="n">
        <f aca="false">'Grille d''évaluation'!L41</f>
        <v>0</v>
      </c>
      <c r="J41" s="66" t="n">
        <f aca="false">'Grille d''évaluation'!M41</f>
        <v>0</v>
      </c>
      <c r="K41" s="62" t="str">
        <f aca="false">IF(AND('Grille d''évaluation'!E41="I",OR('Grille d''évaluation'!F41="C",'Grille d''évaluation'!F41="D")),"🔴 CRITIQUE",IF('Grille d''évaluation'!F41="D","🟠 ÉLEVÉE",IF('Grille d''évaluation'!F41="C","🟡 MOYENNE",IF(OR('Grille d''évaluation'!F41="A",'Grille d''évaluation'!F41="B"),"✓ Conforme",""))))</f>
        <v/>
      </c>
    </row>
    <row r="42" customFormat="false" ht="43.5" hidden="false" customHeight="true" outlineLevel="0" collapsed="false">
      <c r="A42" s="62" t="str">
        <f aca="false">'Grille d''évaluation'!A42</f>
        <v>5.8</v>
      </c>
      <c r="B42" s="63" t="str">
        <f aca="false">'Grille d''évaluation'!B42</f>
        <v>Axe 5</v>
      </c>
      <c r="C42" s="28" t="str">
        <f aca="false">'Grille d''évaluation'!C42</f>
        <v>Les volontés relatives à la fin de vie et directives anticipées sont recueillies, tracées et respectées ; le deuil est accompagné.</v>
      </c>
      <c r="D42" s="64" t="n">
        <f aca="false">'Grille d''évaluation'!F42</f>
        <v>0</v>
      </c>
      <c r="E42" s="65" t="str">
        <f aca="false">'Grille d''évaluation'!E42</f>
        <v>I</v>
      </c>
      <c r="F42" s="28" t="n">
        <f aca="false">'Grille d''évaluation'!J42</f>
        <v>0</v>
      </c>
      <c r="G42" s="28" t="n">
        <f aca="false">'Grille d''évaluation'!I42</f>
        <v>0</v>
      </c>
      <c r="H42" s="66" t="n">
        <f aca="false">'Grille d''évaluation'!K42</f>
        <v>0</v>
      </c>
      <c r="I42" s="66" t="n">
        <f aca="false">'Grille d''évaluation'!L42</f>
        <v>0</v>
      </c>
      <c r="J42" s="66" t="n">
        <f aca="false">'Grille d''évaluation'!M42</f>
        <v>0</v>
      </c>
      <c r="K42" s="62" t="str">
        <f aca="false">IF(AND('Grille d''évaluation'!E42="I",OR('Grille d''évaluation'!F42="C",'Grille d''évaluation'!F42="D")),"🔴 CRITIQUE",IF('Grille d''évaluation'!F42="D","🟠 ÉLEVÉE",IF('Grille d''évaluation'!F42="C","🟡 MOYENNE",IF(OR('Grille d''évaluation'!F42="A",'Grille d''évaluation'!F42="B"),"✓ Conforme",""))))</f>
        <v/>
      </c>
    </row>
    <row r="43" customFormat="false" ht="43.5" hidden="false" customHeight="true" outlineLevel="0" collapsed="false">
      <c r="A43" s="62" t="str">
        <f aca="false">'Grille d''évaluation'!A43</f>
        <v>5.9</v>
      </c>
      <c r="B43" s="63" t="str">
        <f aca="false">'Grille d''évaluation'!B43</f>
        <v>Axe 5</v>
      </c>
      <c r="C43" s="28" t="str">
        <f aca="false">'Grille d''évaluation'!C43</f>
        <v>Les professionnels mobilisent les expertises et partenariats du territoire (intégration soin/aide).</v>
      </c>
      <c r="D43" s="64" t="n">
        <f aca="false">'Grille d''évaluation'!F43</f>
        <v>0</v>
      </c>
      <c r="E43" s="65" t="str">
        <f aca="false">'Grille d''évaluation'!E43</f>
        <v>S</v>
      </c>
      <c r="F43" s="28" t="n">
        <f aca="false">'Grille d''évaluation'!J43</f>
        <v>0</v>
      </c>
      <c r="G43" s="28" t="n">
        <f aca="false">'Grille d''évaluation'!I43</f>
        <v>0</v>
      </c>
      <c r="H43" s="66" t="n">
        <f aca="false">'Grille d''évaluation'!K43</f>
        <v>0</v>
      </c>
      <c r="I43" s="66" t="n">
        <f aca="false">'Grille d''évaluation'!L43</f>
        <v>0</v>
      </c>
      <c r="J43" s="66" t="n">
        <f aca="false">'Grille d''évaluation'!M43</f>
        <v>0</v>
      </c>
      <c r="K43" s="62" t="str">
        <f aca="false">IF(AND('Grille d''évaluation'!E43="I",OR('Grille d''évaluation'!F43="C",'Grille d''évaluation'!F43="D")),"🔴 CRITIQUE",IF('Grille d''évaluation'!F43="D","🟠 ÉLEVÉE",IF('Grille d''évaluation'!F43="C","🟡 MOYENNE",IF(OR('Grille d''évaluation'!F43="A",'Grille d''évaluation'!F43="B"),"✓ Conforme",""))))</f>
        <v/>
      </c>
    </row>
    <row r="44" customFormat="false" ht="43.5" hidden="false" customHeight="true" outlineLevel="0" collapsed="false">
      <c r="A44" s="62" t="str">
        <f aca="false">'Grille d''évaluation'!A44</f>
        <v>6.1</v>
      </c>
      <c r="B44" s="63" t="str">
        <f aca="false">'Grille d''évaluation'!B44</f>
        <v>Axe 6</v>
      </c>
      <c r="C44" s="28" t="str">
        <f aca="false">'Grille d''évaluation'!C44</f>
        <v>Les situations de transition ou de rupture sont anticipées ; la personne est accompagnée pour les prévenir.</v>
      </c>
      <c r="D44" s="64" t="n">
        <f aca="false">'Grille d''évaluation'!F44</f>
        <v>0</v>
      </c>
      <c r="E44" s="65" t="str">
        <f aca="false">'Grille d''évaluation'!E44</f>
        <v>S</v>
      </c>
      <c r="F44" s="28" t="n">
        <f aca="false">'Grille d''évaluation'!J44</f>
        <v>0</v>
      </c>
      <c r="G44" s="28" t="n">
        <f aca="false">'Grille d''évaluation'!I44</f>
        <v>0</v>
      </c>
      <c r="H44" s="66" t="n">
        <f aca="false">'Grille d''évaluation'!K44</f>
        <v>0</v>
      </c>
      <c r="I44" s="66" t="n">
        <f aca="false">'Grille d''évaluation'!L44</f>
        <v>0</v>
      </c>
      <c r="J44" s="66" t="n">
        <f aca="false">'Grille d''évaluation'!M44</f>
        <v>0</v>
      </c>
      <c r="K44" s="62" t="str">
        <f aca="false">IF(AND('Grille d''évaluation'!E44="I",OR('Grille d''évaluation'!F44="C",'Grille d''évaluation'!F44="D")),"🔴 CRITIQUE",IF('Grille d''évaluation'!F44="D","🟠 ÉLEVÉE",IF('Grille d''évaluation'!F44="C","🟡 MOYENNE",IF(OR('Grille d''évaluation'!F44="A",'Grille d''évaluation'!F44="B"),"✓ Conforme",""))))</f>
        <v/>
      </c>
    </row>
    <row r="45" customFormat="false" ht="43.5" hidden="false" customHeight="true" outlineLevel="0" collapsed="false">
      <c r="A45" s="62" t="str">
        <f aca="false">'Grille d''évaluation'!A45</f>
        <v>6.2</v>
      </c>
      <c r="B45" s="63" t="str">
        <f aca="false">'Grille d''évaluation'!B45</f>
        <v>Axe 6</v>
      </c>
      <c r="C45" s="28" t="str">
        <f aca="false">'Grille d''évaluation'!C45</f>
        <v>Les professionnels se coordonnent avec les partenaires du territoire et partagent les informations nécessaires.</v>
      </c>
      <c r="D45" s="64" t="n">
        <f aca="false">'Grille d''évaluation'!F45</f>
        <v>0</v>
      </c>
      <c r="E45" s="65" t="str">
        <f aca="false">'Grille d''évaluation'!E45</f>
        <v>S</v>
      </c>
      <c r="F45" s="28" t="n">
        <f aca="false">'Grille d''évaluation'!J45</f>
        <v>0</v>
      </c>
      <c r="G45" s="28" t="n">
        <f aca="false">'Grille d''évaluation'!I45</f>
        <v>0</v>
      </c>
      <c r="H45" s="66" t="n">
        <f aca="false">'Grille d''évaluation'!K45</f>
        <v>0</v>
      </c>
      <c r="I45" s="66" t="n">
        <f aca="false">'Grille d''évaluation'!L45</f>
        <v>0</v>
      </c>
      <c r="J45" s="66" t="n">
        <f aca="false">'Grille d''évaluation'!M45</f>
        <v>0</v>
      </c>
      <c r="K45" s="62" t="str">
        <f aca="false">IF(AND('Grille d''évaluation'!E45="I",OR('Grille d''évaluation'!F45="C",'Grille d''évaluation'!F45="D")),"🔴 CRITIQUE",IF('Grille d''évaluation'!F45="D","🟠 ÉLEVÉE",IF('Grille d''évaluation'!F45="C","🟡 MOYENNE",IF(OR('Grille d''évaluation'!F45="A",'Grille d''évaluation'!F45="B"),"✓ Conforme",""))))</f>
        <v/>
      </c>
    </row>
    <row r="46" customFormat="false" ht="43.5" hidden="false" customHeight="true" outlineLevel="0" collapsed="false">
      <c r="A46" s="62" t="str">
        <f aca="false">'Grille d''évaluation'!A46</f>
        <v>6.3</v>
      </c>
      <c r="B46" s="63" t="str">
        <f aca="false">'Grille d''évaluation'!B46</f>
        <v>Axe 6</v>
      </c>
      <c r="C46" s="28" t="str">
        <f aca="false">'Grille d''évaluation'!C46</f>
        <v>Les informations utiles à la continuité de l'accompagnement sont partagées entre professionnels dans le respect de la sécurisation des données.</v>
      </c>
      <c r="D46" s="64" t="n">
        <f aca="false">'Grille d''évaluation'!F46</f>
        <v>0</v>
      </c>
      <c r="E46" s="65" t="str">
        <f aca="false">'Grille d''évaluation'!E46</f>
        <v>I</v>
      </c>
      <c r="F46" s="28" t="n">
        <f aca="false">'Grille d''évaluation'!J46</f>
        <v>0</v>
      </c>
      <c r="G46" s="28" t="n">
        <f aca="false">'Grille d''évaluation'!I46</f>
        <v>0</v>
      </c>
      <c r="H46" s="66" t="n">
        <f aca="false">'Grille d''évaluation'!K46</f>
        <v>0</v>
      </c>
      <c r="I46" s="66" t="n">
        <f aca="false">'Grille d''évaluation'!L46</f>
        <v>0</v>
      </c>
      <c r="J46" s="66" t="n">
        <f aca="false">'Grille d''évaluation'!M46</f>
        <v>0</v>
      </c>
      <c r="K46" s="62" t="str">
        <f aca="false">IF(AND('Grille d''évaluation'!E46="I",OR('Grille d''évaluation'!F46="C",'Grille d''évaluation'!F46="D")),"🔴 CRITIQUE",IF('Grille d''évaluation'!F46="D","🟠 ÉLEVÉE",IF('Grille d''évaluation'!F46="C","🟡 MOYENNE",IF(OR('Grille d''évaluation'!F46="A",'Grille d''évaluation'!F46="B"),"✓ Conforme",""))))</f>
        <v/>
      </c>
    </row>
    <row r="47" customFormat="false" ht="43.5" hidden="false" customHeight="true" outlineLevel="0" collapsed="false">
      <c r="A47" s="62" t="str">
        <f aca="false">'Grille d''évaluation'!A47</f>
        <v>6.4</v>
      </c>
      <c r="B47" s="63" t="str">
        <f aca="false">'Grille d''évaluation'!B47</f>
        <v>Axe 6</v>
      </c>
      <c r="C47" s="28" t="str">
        <f aca="false">'Grille d''évaluation'!C47</f>
        <v>En cas d'absence ou d'indisponibilité de l'intervenant, un remplacement est organisé dans des délais brefs (Cap'Handéo : dans l'heure).</v>
      </c>
      <c r="D47" s="64" t="n">
        <f aca="false">'Grille d''évaluation'!F47</f>
        <v>0</v>
      </c>
      <c r="E47" s="65" t="str">
        <f aca="false">'Grille d''évaluation'!E47</f>
        <v>+</v>
      </c>
      <c r="F47" s="28" t="n">
        <f aca="false">'Grille d''évaluation'!J47</f>
        <v>0</v>
      </c>
      <c r="G47" s="28" t="n">
        <f aca="false">'Grille d''évaluation'!I47</f>
        <v>0</v>
      </c>
      <c r="H47" s="66" t="n">
        <f aca="false">'Grille d''évaluation'!K47</f>
        <v>0</v>
      </c>
      <c r="I47" s="66" t="n">
        <f aca="false">'Grille d''évaluation'!L47</f>
        <v>0</v>
      </c>
      <c r="J47" s="66" t="n">
        <f aca="false">'Grille d''évaluation'!M47</f>
        <v>0</v>
      </c>
      <c r="K47" s="62" t="str">
        <f aca="false">IF(AND('Grille d''évaluation'!E47="I",OR('Grille d''évaluation'!F47="C",'Grille d''évaluation'!F47="D")),"🔴 CRITIQUE",IF('Grille d''évaluation'!F47="D","🟠 ÉLEVÉE",IF('Grille d''évaluation'!F47="C","🟡 MOYENNE",IF(OR('Grille d''évaluation'!F47="A",'Grille d''évaluation'!F47="B"),"✓ Conforme",""))))</f>
        <v/>
      </c>
    </row>
    <row r="48" customFormat="false" ht="43.5" hidden="false" customHeight="true" outlineLevel="0" collapsed="false">
      <c r="A48" s="62" t="str">
        <f aca="false">'Grille d''évaluation'!A48</f>
        <v>6.5</v>
      </c>
      <c r="B48" s="63" t="str">
        <f aca="false">'Grille d''évaluation'!B48</f>
        <v>Axe 6</v>
      </c>
      <c r="C48" s="28" t="str">
        <f aca="false">'Grille d''évaluation'!C48</f>
        <v>La personne (et son entourage) est informée des alternatives ; des transmissions sont organisées en cas de relais.</v>
      </c>
      <c r="D48" s="64" t="n">
        <f aca="false">'Grille d''évaluation'!F48</f>
        <v>0</v>
      </c>
      <c r="E48" s="65" t="str">
        <f aca="false">'Grille d''évaluation'!E48</f>
        <v>S</v>
      </c>
      <c r="F48" s="28" t="n">
        <f aca="false">'Grille d''évaluation'!J48</f>
        <v>0</v>
      </c>
      <c r="G48" s="28" t="n">
        <f aca="false">'Grille d''évaluation'!I48</f>
        <v>0</v>
      </c>
      <c r="H48" s="66" t="n">
        <f aca="false">'Grille d''évaluation'!K48</f>
        <v>0</v>
      </c>
      <c r="I48" s="66" t="n">
        <f aca="false">'Grille d''évaluation'!L48</f>
        <v>0</v>
      </c>
      <c r="J48" s="66" t="n">
        <f aca="false">'Grille d''évaluation'!M48</f>
        <v>0</v>
      </c>
      <c r="K48" s="62" t="str">
        <f aca="false">IF(AND('Grille d''évaluation'!E48="I",OR('Grille d''évaluation'!F48="C",'Grille d''évaluation'!F48="D")),"🔴 CRITIQUE",IF('Grille d''évaluation'!F48="D","🟠 ÉLEVÉE",IF('Grille d''évaluation'!F48="C","🟡 MOYENNE",IF(OR('Grille d''évaluation'!F48="A",'Grille d''évaluation'!F48="B"),"✓ Conforme",""))))</f>
        <v/>
      </c>
    </row>
    <row r="49" customFormat="false" ht="43.5" hidden="false" customHeight="true" outlineLevel="0" collapsed="false">
      <c r="A49" s="62" t="str">
        <f aca="false">'Grille d''évaluation'!A49</f>
        <v>7.1</v>
      </c>
      <c r="B49" s="63" t="str">
        <f aca="false">'Grille d''évaluation'!B49</f>
        <v>Axe 7</v>
      </c>
      <c r="C49" s="28" t="str">
        <f aca="false">'Grille d''évaluation'!C49</f>
        <v>L'accueil (physique, téléphonique, numérique) est qualitatif : disponibilité, écoute, délais maîtrisés, traçabilité des demandes.</v>
      </c>
      <c r="D49" s="64" t="n">
        <f aca="false">'Grille d''évaluation'!F49</f>
        <v>0</v>
      </c>
      <c r="E49" s="65" t="str">
        <f aca="false">'Grille d''évaluation'!E49</f>
        <v>S</v>
      </c>
      <c r="F49" s="28" t="n">
        <f aca="false">'Grille d''évaluation'!J49</f>
        <v>0</v>
      </c>
      <c r="G49" s="28" t="n">
        <f aca="false">'Grille d''évaluation'!I49</f>
        <v>0</v>
      </c>
      <c r="H49" s="66" t="n">
        <f aca="false">'Grille d''évaluation'!K49</f>
        <v>0</v>
      </c>
      <c r="I49" s="66" t="n">
        <f aca="false">'Grille d''évaluation'!L49</f>
        <v>0</v>
      </c>
      <c r="J49" s="66" t="n">
        <f aca="false">'Grille d''évaluation'!M49</f>
        <v>0</v>
      </c>
      <c r="K49" s="62" t="str">
        <f aca="false">IF(AND('Grille d''évaluation'!E49="I",OR('Grille d''évaluation'!F49="C",'Grille d''évaluation'!F49="D")),"🔴 CRITIQUE",IF('Grille d''évaluation'!F49="D","🟠 ÉLEVÉE",IF('Grille d''évaluation'!F49="C","🟡 MOYENNE",IF(OR('Grille d''évaluation'!F49="A",'Grille d''évaluation'!F49="B"),"✓ Conforme",""))))</f>
        <v/>
      </c>
    </row>
    <row r="50" customFormat="false" ht="43.5" hidden="false" customHeight="true" outlineLevel="0" collapsed="false">
      <c r="A50" s="62" t="str">
        <f aca="false">'Grille d''évaluation'!A50</f>
        <v>7.2</v>
      </c>
      <c r="B50" s="63" t="str">
        <f aca="false">'Grille d''évaluation'!B50</f>
        <v>Axe 7</v>
      </c>
      <c r="C50" s="28" t="str">
        <f aca="false">'Grille d''évaluation'!C50</f>
        <v>L'information communiquée au prospect / client est claire, complète, sincère et non trompeuse.</v>
      </c>
      <c r="D50" s="64" t="n">
        <f aca="false">'Grille d''évaluation'!F50</f>
        <v>0</v>
      </c>
      <c r="E50" s="65" t="str">
        <f aca="false">'Grille d''évaluation'!E50</f>
        <v>S</v>
      </c>
      <c r="F50" s="28" t="n">
        <f aca="false">'Grille d''évaluation'!J50</f>
        <v>0</v>
      </c>
      <c r="G50" s="28" t="n">
        <f aca="false">'Grille d''évaluation'!I50</f>
        <v>0</v>
      </c>
      <c r="H50" s="66" t="n">
        <f aca="false">'Grille d''évaluation'!K50</f>
        <v>0</v>
      </c>
      <c r="I50" s="66" t="n">
        <f aca="false">'Grille d''évaluation'!L50</f>
        <v>0</v>
      </c>
      <c r="J50" s="66" t="n">
        <f aca="false">'Grille d''évaluation'!M50</f>
        <v>0</v>
      </c>
      <c r="K50" s="62" t="str">
        <f aca="false">IF(AND('Grille d''évaluation'!E50="I",OR('Grille d''évaluation'!F50="C",'Grille d''évaluation'!F50="D")),"🔴 CRITIQUE",IF('Grille d''évaluation'!F50="D","🟠 ÉLEVÉE",IF('Grille d''évaluation'!F50="C","🟡 MOYENNE",IF(OR('Grille d''évaluation'!F50="A",'Grille d''évaluation'!F50="B"),"✓ Conforme",""))))</f>
        <v/>
      </c>
    </row>
    <row r="51" customFormat="false" ht="43.5" hidden="false" customHeight="true" outlineLevel="0" collapsed="false">
      <c r="A51" s="62" t="str">
        <f aca="false">'Grille d''évaluation'!A51</f>
        <v>7.3</v>
      </c>
      <c r="B51" s="63" t="str">
        <f aca="false">'Grille d''évaluation'!B51</f>
        <v>Axe 7</v>
      </c>
      <c r="C51" s="28" t="str">
        <f aca="false">'Grille d''évaluation'!C51</f>
        <v>Un diagnostic des besoins est réalisé au domicile préalablement à la mise en place du service ; un devis personnalisé est remis.</v>
      </c>
      <c r="D51" s="64" t="n">
        <f aca="false">'Grille d''évaluation'!F51</f>
        <v>0</v>
      </c>
      <c r="E51" s="65" t="str">
        <f aca="false">'Grille d''évaluation'!E51</f>
        <v>S</v>
      </c>
      <c r="F51" s="28" t="n">
        <f aca="false">'Grille d''évaluation'!J51</f>
        <v>0</v>
      </c>
      <c r="G51" s="28" t="n">
        <f aca="false">'Grille d''évaluation'!I51</f>
        <v>0</v>
      </c>
      <c r="H51" s="66" t="n">
        <f aca="false">'Grille d''évaluation'!K51</f>
        <v>0</v>
      </c>
      <c r="I51" s="66" t="n">
        <f aca="false">'Grille d''évaluation'!L51</f>
        <v>0</v>
      </c>
      <c r="J51" s="66" t="n">
        <f aca="false">'Grille d''évaluation'!M51</f>
        <v>0</v>
      </c>
      <c r="K51" s="62" t="str">
        <f aca="false">IF(AND('Grille d''évaluation'!E51="I",OR('Grille d''évaluation'!F51="C",'Grille d''évaluation'!F51="D")),"🔴 CRITIQUE",IF('Grille d''évaluation'!F51="D","🟠 ÉLEVÉE",IF('Grille d''évaluation'!F51="C","🟡 MOYENNE",IF(OR('Grille d''évaluation'!F51="A",'Grille d''évaluation'!F51="B"),"✓ Conforme",""))))</f>
        <v/>
      </c>
    </row>
    <row r="52" customFormat="false" ht="43.5" hidden="false" customHeight="true" outlineLevel="0" collapsed="false">
      <c r="A52" s="62" t="str">
        <f aca="false">'Grille d''évaluation'!A52</f>
        <v>7.4</v>
      </c>
      <c r="B52" s="63" t="str">
        <f aca="false">'Grille d''évaluation'!B52</f>
        <v>Axe 7</v>
      </c>
      <c r="C52" s="28" t="str">
        <f aca="false">'Grille d''évaluation'!C52</f>
        <v>Un document contractuel (contrat / DIPC) est établi, conforme aux exigences réglementaires, signé par les deux parties.</v>
      </c>
      <c r="D52" s="64" t="n">
        <f aca="false">'Grille d''évaluation'!F52</f>
        <v>0</v>
      </c>
      <c r="E52" s="65" t="str">
        <f aca="false">'Grille d''évaluation'!E52</f>
        <v>I</v>
      </c>
      <c r="F52" s="28" t="n">
        <f aca="false">'Grille d''évaluation'!J52</f>
        <v>0</v>
      </c>
      <c r="G52" s="28" t="n">
        <f aca="false">'Grille d''évaluation'!I52</f>
        <v>0</v>
      </c>
      <c r="H52" s="66" t="n">
        <f aca="false">'Grille d''évaluation'!K52</f>
        <v>0</v>
      </c>
      <c r="I52" s="66" t="n">
        <f aca="false">'Grille d''évaluation'!L52</f>
        <v>0</v>
      </c>
      <c r="J52" s="66" t="n">
        <f aca="false">'Grille d''évaluation'!M52</f>
        <v>0</v>
      </c>
      <c r="K52" s="62" t="str">
        <f aca="false">IF(AND('Grille d''évaluation'!E52="I",OR('Grille d''évaluation'!F52="C",'Grille d''évaluation'!F52="D")),"🔴 CRITIQUE",IF('Grille d''évaluation'!F52="D","🟠 ÉLEVÉE",IF('Grille d''évaluation'!F52="C","🟡 MOYENNE",IF(OR('Grille d''évaluation'!F52="A",'Grille d''évaluation'!F52="B"),"✓ Conforme",""))))</f>
        <v/>
      </c>
    </row>
    <row r="53" customFormat="false" ht="43.5" hidden="false" customHeight="true" outlineLevel="0" collapsed="false">
      <c r="A53" s="62" t="str">
        <f aca="false">'Grille d''évaluation'!A53</f>
        <v>7.5</v>
      </c>
      <c r="B53" s="63" t="str">
        <f aca="false">'Grille d''évaluation'!B53</f>
        <v>Axe 7</v>
      </c>
      <c r="C53" s="28" t="str">
        <f aca="false">'Grille d''évaluation'!C53</f>
        <v>L'offre couvre une amplitude horaire adaptée (Cap'Handéo : minimum 6h–23h, voire 24h/24, 7j/7 selon les besoins).</v>
      </c>
      <c r="D53" s="64" t="n">
        <f aca="false">'Grille d''évaluation'!F53</f>
        <v>0</v>
      </c>
      <c r="E53" s="65" t="str">
        <f aca="false">'Grille d''évaluation'!E53</f>
        <v>+</v>
      </c>
      <c r="F53" s="28" t="n">
        <f aca="false">'Grille d''évaluation'!J53</f>
        <v>0</v>
      </c>
      <c r="G53" s="28" t="n">
        <f aca="false">'Grille d''évaluation'!I53</f>
        <v>0</v>
      </c>
      <c r="H53" s="66" t="n">
        <f aca="false">'Grille d''évaluation'!K53</f>
        <v>0</v>
      </c>
      <c r="I53" s="66" t="n">
        <f aca="false">'Grille d''évaluation'!L53</f>
        <v>0</v>
      </c>
      <c r="J53" s="66" t="n">
        <f aca="false">'Grille d''évaluation'!M53</f>
        <v>0</v>
      </c>
      <c r="K53" s="62" t="str">
        <f aca="false">IF(AND('Grille d''évaluation'!E53="I",OR('Grille d''évaluation'!F53="C",'Grille d''évaluation'!F53="D")),"🔴 CRITIQUE",IF('Grille d''évaluation'!F53="D","🟠 ÉLEVÉE",IF('Grille d''évaluation'!F53="C","🟡 MOYENNE",IF(OR('Grille d''évaluation'!F53="A",'Grille d''évaluation'!F53="B"),"✓ Conforme",""))))</f>
        <v/>
      </c>
    </row>
    <row r="54" customFormat="false" ht="43.5" hidden="false" customHeight="true" outlineLevel="0" collapsed="false">
      <c r="A54" s="62" t="str">
        <f aca="false">'Grille d''évaluation'!A54</f>
        <v>7.6</v>
      </c>
      <c r="B54" s="63" t="str">
        <f aca="false">'Grille d''évaluation'!B54</f>
        <v>Axe 7</v>
      </c>
      <c r="C54" s="28" t="str">
        <f aca="false">'Grille d''évaluation'!C54</f>
        <v>Une fiche de mission / cahier de liaison est mis en place au domicile ; les interventions sont tracées (horodatage, transmissions).</v>
      </c>
      <c r="D54" s="64" t="n">
        <f aca="false">'Grille d''évaluation'!F54</f>
        <v>0</v>
      </c>
      <c r="E54" s="65" t="str">
        <f aca="false">'Grille d''évaluation'!E54</f>
        <v>S</v>
      </c>
      <c r="F54" s="28" t="n">
        <f aca="false">'Grille d''évaluation'!J54</f>
        <v>0</v>
      </c>
      <c r="G54" s="28" t="n">
        <f aca="false">'Grille d''évaluation'!I54</f>
        <v>0</v>
      </c>
      <c r="H54" s="66" t="n">
        <f aca="false">'Grille d''évaluation'!K54</f>
        <v>0</v>
      </c>
      <c r="I54" s="66" t="n">
        <f aca="false">'Grille d''évaluation'!L54</f>
        <v>0</v>
      </c>
      <c r="J54" s="66" t="n">
        <f aca="false">'Grille d''évaluation'!M54</f>
        <v>0</v>
      </c>
      <c r="K54" s="62" t="str">
        <f aca="false">IF(AND('Grille d''évaluation'!E54="I",OR('Grille d''évaluation'!F54="C",'Grille d''évaluation'!F54="D")),"🔴 CRITIQUE",IF('Grille d''évaluation'!F54="D","🟠 ÉLEVÉE",IF('Grille d''évaluation'!F54="C","🟡 MOYENNE",IF(OR('Grille d''évaluation'!F54="A",'Grille d''évaluation'!F54="B"),"✓ Conforme",""))))</f>
        <v/>
      </c>
    </row>
    <row r="55" customFormat="false" ht="43.5" hidden="false" customHeight="true" outlineLevel="0" collapsed="false">
      <c r="A55" s="62" t="str">
        <f aca="false">'Grille d''évaluation'!A55</f>
        <v>7.7</v>
      </c>
      <c r="B55" s="63" t="str">
        <f aca="false">'Grille d''évaluation'!B55</f>
        <v>Axe 7</v>
      </c>
      <c r="C55" s="28" t="str">
        <f aca="false">'Grille d''évaluation'!C55</f>
        <v>Les réclamations sont recueillies, tracées, traitées dans des délais maîtrisés et analysées pour mettre en place des actions correctives.</v>
      </c>
      <c r="D55" s="64" t="n">
        <f aca="false">'Grille d''évaluation'!F55</f>
        <v>0</v>
      </c>
      <c r="E55" s="65" t="str">
        <f aca="false">'Grille d''évaluation'!E55</f>
        <v>I</v>
      </c>
      <c r="F55" s="28" t="n">
        <f aca="false">'Grille d''évaluation'!J55</f>
        <v>0</v>
      </c>
      <c r="G55" s="28" t="n">
        <f aca="false">'Grille d''évaluation'!I55</f>
        <v>0</v>
      </c>
      <c r="H55" s="66" t="n">
        <f aca="false">'Grille d''évaluation'!K55</f>
        <v>0</v>
      </c>
      <c r="I55" s="66" t="n">
        <f aca="false">'Grille d''évaluation'!L55</f>
        <v>0</v>
      </c>
      <c r="J55" s="66" t="n">
        <f aca="false">'Grille d''évaluation'!M55</f>
        <v>0</v>
      </c>
      <c r="K55" s="62" t="str">
        <f aca="false">IF(AND('Grille d''évaluation'!E55="I",OR('Grille d''évaluation'!F55="C",'Grille d''évaluation'!F55="D")),"🔴 CRITIQUE",IF('Grille d''évaluation'!F55="D","🟠 ÉLEVÉE",IF('Grille d''évaluation'!F55="C","🟡 MOYENNE",IF(OR('Grille d''évaluation'!F55="A",'Grille d''évaluation'!F55="B"),"✓ Conforme",""))))</f>
        <v/>
      </c>
    </row>
    <row r="56" customFormat="false" ht="43.5" hidden="false" customHeight="true" outlineLevel="0" collapsed="false">
      <c r="A56" s="62" t="str">
        <f aca="false">'Grille d''évaluation'!A56</f>
        <v>7.8</v>
      </c>
      <c r="B56" s="63" t="str">
        <f aca="false">'Grille d''évaluation'!B56</f>
        <v>Axe 7</v>
      </c>
      <c r="C56" s="28" t="str">
        <f aca="false">'Grille d''évaluation'!C56</f>
        <v>La facturation est claire, conforme au contrat et au devis ; les modalités de règlement sont transparentes.</v>
      </c>
      <c r="D56" s="64" t="n">
        <f aca="false">'Grille d''évaluation'!F56</f>
        <v>0</v>
      </c>
      <c r="E56" s="65" t="str">
        <f aca="false">'Grille d''évaluation'!E56</f>
        <v>S</v>
      </c>
      <c r="F56" s="28" t="n">
        <f aca="false">'Grille d''évaluation'!J56</f>
        <v>0</v>
      </c>
      <c r="G56" s="28" t="n">
        <f aca="false">'Grille d''évaluation'!I56</f>
        <v>0</v>
      </c>
      <c r="H56" s="66" t="n">
        <f aca="false">'Grille d''évaluation'!K56</f>
        <v>0</v>
      </c>
      <c r="I56" s="66" t="n">
        <f aca="false">'Grille d''évaluation'!L56</f>
        <v>0</v>
      </c>
      <c r="J56" s="66" t="n">
        <f aca="false">'Grille d''évaluation'!M56</f>
        <v>0</v>
      </c>
      <c r="K56" s="62" t="str">
        <f aca="false">IF(AND('Grille d''évaluation'!E56="I",OR('Grille d''évaluation'!F56="C",'Grille d''évaluation'!F56="D")),"🔴 CRITIQUE",IF('Grille d''évaluation'!F56="D","🟠 ÉLEVÉE",IF('Grille d''évaluation'!F56="C","🟡 MOYENNE",IF(OR('Grille d''évaluation'!F56="A",'Grille d''évaluation'!F56="B"),"✓ Conforme",""))))</f>
        <v/>
      </c>
    </row>
    <row r="57" customFormat="false" ht="43.5" hidden="false" customHeight="true" outlineLevel="0" collapsed="false">
      <c r="A57" s="62" t="str">
        <f aca="false">'Grille d''évaluation'!A57</f>
        <v>8.1</v>
      </c>
      <c r="B57" s="63" t="str">
        <f aca="false">'Grille d''évaluation'!B57</f>
        <v>Axe 8</v>
      </c>
      <c r="C57" s="28" t="str">
        <f aca="false">'Grille d''évaluation'!C57</f>
        <v>Le recrutement est encadré : vérifications réglementaires (B3, diplômes), entretiens structurés, prise de références.</v>
      </c>
      <c r="D57" s="64" t="n">
        <f aca="false">'Grille d''évaluation'!F57</f>
        <v>0</v>
      </c>
      <c r="E57" s="65" t="str">
        <f aca="false">'Grille d''évaluation'!E57</f>
        <v>S</v>
      </c>
      <c r="F57" s="28" t="n">
        <f aca="false">'Grille d''évaluation'!J57</f>
        <v>0</v>
      </c>
      <c r="G57" s="28" t="n">
        <f aca="false">'Grille d''évaluation'!I57</f>
        <v>0</v>
      </c>
      <c r="H57" s="66" t="n">
        <f aca="false">'Grille d''évaluation'!K57</f>
        <v>0</v>
      </c>
      <c r="I57" s="66" t="n">
        <f aca="false">'Grille d''évaluation'!L57</f>
        <v>0</v>
      </c>
      <c r="J57" s="66" t="n">
        <f aca="false">'Grille d''évaluation'!M57</f>
        <v>0</v>
      </c>
      <c r="K57" s="62" t="str">
        <f aca="false">IF(AND('Grille d''évaluation'!E57="I",OR('Grille d''évaluation'!F57="C",'Grille d''évaluation'!F57="D")),"🔴 CRITIQUE",IF('Grille d''évaluation'!F57="D","🟠 ÉLEVÉE",IF('Grille d''évaluation'!F57="C","🟡 MOYENNE",IF(OR('Grille d''évaluation'!F57="A",'Grille d''évaluation'!F57="B"),"✓ Conforme",""))))</f>
        <v/>
      </c>
    </row>
    <row r="58" customFormat="false" ht="43.5" hidden="false" customHeight="true" outlineLevel="0" collapsed="false">
      <c r="A58" s="62" t="str">
        <f aca="false">'Grille d''évaluation'!A58</f>
        <v>8.2</v>
      </c>
      <c r="B58" s="63" t="str">
        <f aca="false">'Grille d''évaluation'!B58</f>
        <v>Axe 8</v>
      </c>
      <c r="C58" s="28" t="str">
        <f aca="false">'Grille d''évaluation'!C58</f>
        <v>Tout nouveau professionnel bénéficie d'un processus d'accueil et d'intégration (parcours, tutorat, doublures).</v>
      </c>
      <c r="D58" s="64" t="n">
        <f aca="false">'Grille d''évaluation'!F58</f>
        <v>0</v>
      </c>
      <c r="E58" s="65" t="str">
        <f aca="false">'Grille d''évaluation'!E58</f>
        <v>S</v>
      </c>
      <c r="F58" s="28" t="n">
        <f aca="false">'Grille d''évaluation'!J58</f>
        <v>0</v>
      </c>
      <c r="G58" s="28" t="n">
        <f aca="false">'Grille d''évaluation'!I58</f>
        <v>0</v>
      </c>
      <c r="H58" s="66" t="n">
        <f aca="false">'Grille d''évaluation'!K58</f>
        <v>0</v>
      </c>
      <c r="I58" s="66" t="n">
        <f aca="false">'Grille d''évaluation'!L58</f>
        <v>0</v>
      </c>
      <c r="J58" s="66" t="n">
        <f aca="false">'Grille d''évaluation'!M58</f>
        <v>0</v>
      </c>
      <c r="K58" s="62" t="str">
        <f aca="false">IF(AND('Grille d''évaluation'!E58="I",OR('Grille d''évaluation'!F58="C",'Grille d''évaluation'!F58="D")),"🔴 CRITIQUE",IF('Grille d''évaluation'!F58="D","🟠 ÉLEVÉE",IF('Grille d''évaluation'!F58="C","🟡 MOYENNE",IF(OR('Grille d''évaluation'!F58="A",'Grille d''évaluation'!F58="B"),"✓ Conforme",""))))</f>
        <v/>
      </c>
    </row>
    <row r="59" customFormat="false" ht="43.5" hidden="false" customHeight="true" outlineLevel="0" collapsed="false">
      <c r="A59" s="62" t="str">
        <f aca="false">'Grille d''évaluation'!A59</f>
        <v>8.3</v>
      </c>
      <c r="B59" s="63" t="str">
        <f aca="false">'Grille d''évaluation'!B59</f>
        <v>Axe 8</v>
      </c>
      <c r="C59" s="28" t="str">
        <f aca="false">'Grille d''évaluation'!C59</f>
        <v>Une équipe de professionnels formés et qualifiés est mise au service des accompagnements ; un plan annuel de formation est mis en œuvre.</v>
      </c>
      <c r="D59" s="64" t="n">
        <f aca="false">'Grille d''évaluation'!F59</f>
        <v>0</v>
      </c>
      <c r="E59" s="65" t="str">
        <f aca="false">'Grille d''évaluation'!E59</f>
        <v>I</v>
      </c>
      <c r="F59" s="28" t="n">
        <f aca="false">'Grille d''évaluation'!J59</f>
        <v>0</v>
      </c>
      <c r="G59" s="28" t="n">
        <f aca="false">'Grille d''évaluation'!I59</f>
        <v>0</v>
      </c>
      <c r="H59" s="66" t="n">
        <f aca="false">'Grille d''évaluation'!K59</f>
        <v>0</v>
      </c>
      <c r="I59" s="66" t="n">
        <f aca="false">'Grille d''évaluation'!L59</f>
        <v>0</v>
      </c>
      <c r="J59" s="66" t="n">
        <f aca="false">'Grille d''évaluation'!M59</f>
        <v>0</v>
      </c>
      <c r="K59" s="62" t="str">
        <f aca="false">IF(AND('Grille d''évaluation'!E59="I",OR('Grille d''évaluation'!F59="C",'Grille d''évaluation'!F59="D")),"🔴 CRITIQUE",IF('Grille d''évaluation'!F59="D","🟠 ÉLEVÉE",IF('Grille d''évaluation'!F59="C","🟡 MOYENNE",IF(OR('Grille d''évaluation'!F59="A",'Grille d''évaluation'!F59="B"),"✓ Conforme",""))))</f>
        <v/>
      </c>
    </row>
    <row r="60" customFormat="false" ht="43.5" hidden="false" customHeight="true" outlineLevel="0" collapsed="false">
      <c r="A60" s="62" t="str">
        <f aca="false">'Grille d''évaluation'!A60</f>
        <v>8.4</v>
      </c>
      <c r="B60" s="63" t="str">
        <f aca="false">'Grille d''évaluation'!B60</f>
        <v>Axe 8</v>
      </c>
      <c r="C60" s="28" t="str">
        <f aca="false">'Grille d''évaluation'!C60</f>
        <v>Les intervenants sont spécifiquement formés aux différents handicaps et aux besoins de la perte d'autonomie.</v>
      </c>
      <c r="D60" s="64" t="n">
        <f aca="false">'Grille d''évaluation'!F60</f>
        <v>0</v>
      </c>
      <c r="E60" s="65" t="str">
        <f aca="false">'Grille d''évaluation'!E60</f>
        <v>+</v>
      </c>
      <c r="F60" s="28" t="n">
        <f aca="false">'Grille d''évaluation'!J60</f>
        <v>0</v>
      </c>
      <c r="G60" s="28" t="n">
        <f aca="false">'Grille d''évaluation'!I60</f>
        <v>0</v>
      </c>
      <c r="H60" s="66" t="n">
        <f aca="false">'Grille d''évaluation'!K60</f>
        <v>0</v>
      </c>
      <c r="I60" s="66" t="n">
        <f aca="false">'Grille d''évaluation'!L60</f>
        <v>0</v>
      </c>
      <c r="J60" s="66" t="n">
        <f aca="false">'Grille d''évaluation'!M60</f>
        <v>0</v>
      </c>
      <c r="K60" s="62" t="str">
        <f aca="false">IF(AND('Grille d''évaluation'!E60="I",OR('Grille d''évaluation'!F60="C",'Grille d''évaluation'!F60="D")),"🔴 CRITIQUE",IF('Grille d''évaluation'!F60="D","🟠 ÉLEVÉE",IF('Grille d''évaluation'!F60="C","🟡 MOYENNE",IF(OR('Grille d''évaluation'!F60="A",'Grille d''évaluation'!F60="B"),"✓ Conforme",""))))</f>
        <v/>
      </c>
    </row>
    <row r="61" customFormat="false" ht="43.5" hidden="false" customHeight="true" outlineLevel="0" collapsed="false">
      <c r="A61" s="62" t="str">
        <f aca="false">'Grille d''évaluation'!A61</f>
        <v>8.5</v>
      </c>
      <c r="B61" s="63" t="str">
        <f aca="false">'Grille d''évaluation'!B61</f>
        <v>Axe 8</v>
      </c>
      <c r="C61" s="28" t="str">
        <f aca="false">'Grille d''évaluation'!C61</f>
        <v>Les encadrants sont compétents ; un ratio d'au moins 1 encadrant pour 30 intervenants est respecté (Cap'Handéo).</v>
      </c>
      <c r="D61" s="64" t="n">
        <f aca="false">'Grille d''évaluation'!F61</f>
        <v>0</v>
      </c>
      <c r="E61" s="65" t="str">
        <f aca="false">'Grille d''évaluation'!E61</f>
        <v>+</v>
      </c>
      <c r="F61" s="28" t="n">
        <f aca="false">'Grille d''évaluation'!J61</f>
        <v>0</v>
      </c>
      <c r="G61" s="28" t="n">
        <f aca="false">'Grille d''évaluation'!I61</f>
        <v>0</v>
      </c>
      <c r="H61" s="66" t="n">
        <f aca="false">'Grille d''évaluation'!K61</f>
        <v>0</v>
      </c>
      <c r="I61" s="66" t="n">
        <f aca="false">'Grille d''évaluation'!L61</f>
        <v>0</v>
      </c>
      <c r="J61" s="66" t="n">
        <f aca="false">'Grille d''évaluation'!M61</f>
        <v>0</v>
      </c>
      <c r="K61" s="62" t="str">
        <f aca="false">IF(AND('Grille d''évaluation'!E61="I",OR('Grille d''évaluation'!F61="C",'Grille d''évaluation'!F61="D")),"🔴 CRITIQUE",IF('Grille d''évaluation'!F61="D","🟠 ÉLEVÉE",IF('Grille d''évaluation'!F61="C","🟡 MOYENNE",IF(OR('Grille d''évaluation'!F61="A",'Grille d''évaluation'!F61="B"),"✓ Conforme",""))))</f>
        <v/>
      </c>
    </row>
    <row r="62" customFormat="false" ht="43.5" hidden="false" customHeight="true" outlineLevel="0" collapsed="false">
      <c r="A62" s="62" t="str">
        <f aca="false">'Grille d''évaluation'!A62</f>
        <v>8.6</v>
      </c>
      <c r="B62" s="63" t="str">
        <f aca="false">'Grille d''évaluation'!B62</f>
        <v>Axe 8</v>
      </c>
      <c r="C62" s="28" t="str">
        <f aca="false">'Grille d''évaluation'!C62</f>
        <v>L'ESSMS adapte sa GEPP aux évolutions du secteur et de sa stratégie.</v>
      </c>
      <c r="D62" s="64" t="n">
        <f aca="false">'Grille d''évaluation'!F62</f>
        <v>0</v>
      </c>
      <c r="E62" s="65" t="str">
        <f aca="false">'Grille d''évaluation'!E62</f>
        <v>S</v>
      </c>
      <c r="F62" s="28" t="n">
        <f aca="false">'Grille d''évaluation'!J62</f>
        <v>0</v>
      </c>
      <c r="G62" s="28" t="n">
        <f aca="false">'Grille d''évaluation'!I62</f>
        <v>0</v>
      </c>
      <c r="H62" s="66" t="n">
        <f aca="false">'Grille d''évaluation'!K62</f>
        <v>0</v>
      </c>
      <c r="I62" s="66" t="n">
        <f aca="false">'Grille d''évaluation'!L62</f>
        <v>0</v>
      </c>
      <c r="J62" s="66" t="n">
        <f aca="false">'Grille d''évaluation'!M62</f>
        <v>0</v>
      </c>
      <c r="K62" s="62" t="str">
        <f aca="false">IF(AND('Grille d''évaluation'!E62="I",OR('Grille d''évaluation'!F62="C",'Grille d''évaluation'!F62="D")),"🔴 CRITIQUE",IF('Grille d''évaluation'!F62="D","🟠 ÉLEVÉE",IF('Grille d''évaluation'!F62="C","🟡 MOYENNE",IF(OR('Grille d''évaluation'!F62="A",'Grille d''évaluation'!F62="B"),"✓ Conforme",""))))</f>
        <v/>
      </c>
    </row>
    <row r="63" customFormat="false" ht="43.5" hidden="false" customHeight="true" outlineLevel="0" collapsed="false">
      <c r="A63" s="62" t="str">
        <f aca="false">'Grille d''évaluation'!A63</f>
        <v>8.7</v>
      </c>
      <c r="B63" s="63" t="str">
        <f aca="false">'Grille d''évaluation'!B63</f>
        <v>Axe 8</v>
      </c>
      <c r="C63" s="28" t="str">
        <f aca="false">'Grille d''évaluation'!C63</f>
        <v>L'ESSMS met en œuvre une démarche de prévention des risques professionnels (DUERP, RPS, TMS, usure).</v>
      </c>
      <c r="D63" s="64" t="n">
        <f aca="false">'Grille d''évaluation'!F63</f>
        <v>0</v>
      </c>
      <c r="E63" s="65" t="str">
        <f aca="false">'Grille d''évaluation'!E63</f>
        <v>I</v>
      </c>
      <c r="F63" s="28" t="n">
        <f aca="false">'Grille d''évaluation'!J63</f>
        <v>0</v>
      </c>
      <c r="G63" s="28" t="n">
        <f aca="false">'Grille d''évaluation'!I63</f>
        <v>0</v>
      </c>
      <c r="H63" s="66" t="n">
        <f aca="false">'Grille d''évaluation'!K63</f>
        <v>0</v>
      </c>
      <c r="I63" s="66" t="n">
        <f aca="false">'Grille d''évaluation'!L63</f>
        <v>0</v>
      </c>
      <c r="J63" s="66" t="n">
        <f aca="false">'Grille d''évaluation'!M63</f>
        <v>0</v>
      </c>
      <c r="K63" s="62" t="str">
        <f aca="false">IF(AND('Grille d''évaluation'!E63="I",OR('Grille d''évaluation'!F63="C",'Grille d''évaluation'!F63="D")),"🔴 CRITIQUE",IF('Grille d''évaluation'!F63="D","🟠 ÉLEVÉE",IF('Grille d''évaluation'!F63="C","🟡 MOYENNE",IF(OR('Grille d''évaluation'!F63="A",'Grille d''évaluation'!F63="B"),"✓ Conforme",""))))</f>
        <v/>
      </c>
    </row>
    <row r="64" customFormat="false" ht="43.5" hidden="false" customHeight="true" outlineLevel="0" collapsed="false">
      <c r="A64" s="62" t="str">
        <f aca="false">'Grille d''évaluation'!A64</f>
        <v>8.8</v>
      </c>
      <c r="B64" s="63" t="str">
        <f aca="false">'Grille d''évaluation'!B64</f>
        <v>Axe 8</v>
      </c>
      <c r="C64" s="28" t="str">
        <f aca="false">'Grille d''évaluation'!C64</f>
        <v>Une politique QVCT est promue : environnement de travail, espaces de discussion, soutien psychologique et éthique.</v>
      </c>
      <c r="D64" s="64" t="n">
        <f aca="false">'Grille d''évaluation'!F64</f>
        <v>0</v>
      </c>
      <c r="E64" s="65" t="str">
        <f aca="false">'Grille d''évaluation'!E64</f>
        <v>S</v>
      </c>
      <c r="F64" s="28" t="n">
        <f aca="false">'Grille d''évaluation'!J64</f>
        <v>0</v>
      </c>
      <c r="G64" s="28" t="n">
        <f aca="false">'Grille d''évaluation'!I64</f>
        <v>0</v>
      </c>
      <c r="H64" s="66" t="n">
        <f aca="false">'Grille d''évaluation'!K64</f>
        <v>0</v>
      </c>
      <c r="I64" s="66" t="n">
        <f aca="false">'Grille d''évaluation'!L64</f>
        <v>0</v>
      </c>
      <c r="J64" s="66" t="n">
        <f aca="false">'Grille d''évaluation'!M64</f>
        <v>0</v>
      </c>
      <c r="K64" s="62" t="str">
        <f aca="false">IF(AND('Grille d''évaluation'!E64="I",OR('Grille d''évaluation'!F64="C",'Grille d''évaluation'!F64="D")),"🔴 CRITIQUE",IF('Grille d''évaluation'!F64="D","🟠 ÉLEVÉE",IF('Grille d''évaluation'!F64="C","🟡 MOYENNE",IF(OR('Grille d''évaluation'!F64="A",'Grille d''évaluation'!F64="B"),"✓ Conforme",""))))</f>
        <v/>
      </c>
    </row>
    <row r="65" customFormat="false" ht="43.5" hidden="false" customHeight="true" outlineLevel="0" collapsed="false">
      <c r="A65" s="62" t="str">
        <f aca="false">'Grille d''évaluation'!A65</f>
        <v>8.9</v>
      </c>
      <c r="B65" s="63" t="str">
        <f aca="false">'Grille d''évaluation'!B65</f>
        <v>Axe 8</v>
      </c>
      <c r="C65" s="28" t="str">
        <f aca="false">'Grille d''évaluation'!C65</f>
        <v>Des modalités de travail garantissent la sécurité, la continuité et la qualité (astreintes, permanence, planning).</v>
      </c>
      <c r="D65" s="64" t="n">
        <f aca="false">'Grille d''évaluation'!F65</f>
        <v>0</v>
      </c>
      <c r="E65" s="65" t="str">
        <f aca="false">'Grille d''évaluation'!E65</f>
        <v>S</v>
      </c>
      <c r="F65" s="28" t="n">
        <f aca="false">'Grille d''évaluation'!J65</f>
        <v>0</v>
      </c>
      <c r="G65" s="28" t="n">
        <f aca="false">'Grille d''évaluation'!I65</f>
        <v>0</v>
      </c>
      <c r="H65" s="66" t="n">
        <f aca="false">'Grille d''évaluation'!K65</f>
        <v>0</v>
      </c>
      <c r="I65" s="66" t="n">
        <f aca="false">'Grille d''évaluation'!L65</f>
        <v>0</v>
      </c>
      <c r="J65" s="66" t="n">
        <f aca="false">'Grille d''évaluation'!M65</f>
        <v>0</v>
      </c>
      <c r="K65" s="62" t="str">
        <f aca="false">IF(AND('Grille d''évaluation'!E65="I",OR('Grille d''évaluation'!F65="C",'Grille d''évaluation'!F65="D")),"🔴 CRITIQUE",IF('Grille d''évaluation'!F65="D","🟠 ÉLEVÉE",IF('Grille d''évaluation'!F65="C","🟡 MOYENNE",IF(OR('Grille d''évaluation'!F65="A",'Grille d''évaluation'!F65="B"),"✓ Conforme",""))))</f>
        <v/>
      </c>
    </row>
    <row r="66" customFormat="false" ht="43.5" hidden="false" customHeight="true" outlineLevel="0" collapsed="false">
      <c r="A66" s="62" t="str">
        <f aca="false">'Grille d''évaluation'!A66</f>
        <v>9.1</v>
      </c>
      <c r="B66" s="63" t="str">
        <f aca="false">'Grille d''évaluation'!B66</f>
        <v>Axe 9</v>
      </c>
      <c r="C66" s="28" t="str">
        <f aca="false">'Grille d''évaluation'!C66</f>
        <v>L'ESSMS définit sa politique qualité et gestion des risques ; les processus clés sont formalisés.</v>
      </c>
      <c r="D66" s="64" t="n">
        <f aca="false">'Grille d''évaluation'!F66</f>
        <v>0</v>
      </c>
      <c r="E66" s="65" t="str">
        <f aca="false">'Grille d''évaluation'!E66</f>
        <v>S</v>
      </c>
      <c r="F66" s="28" t="n">
        <f aca="false">'Grille d''évaluation'!J66</f>
        <v>0</v>
      </c>
      <c r="G66" s="28" t="n">
        <f aca="false">'Grille d''évaluation'!I66</f>
        <v>0</v>
      </c>
      <c r="H66" s="66" t="n">
        <f aca="false">'Grille d''évaluation'!K66</f>
        <v>0</v>
      </c>
      <c r="I66" s="66" t="n">
        <f aca="false">'Grille d''évaluation'!L66</f>
        <v>0</v>
      </c>
      <c r="J66" s="66" t="n">
        <f aca="false">'Grille d''évaluation'!M66</f>
        <v>0</v>
      </c>
      <c r="K66" s="62" t="str">
        <f aca="false">IF(AND('Grille d''évaluation'!E66="I",OR('Grille d''évaluation'!F66="C",'Grille d''évaluation'!F66="D")),"🔴 CRITIQUE",IF('Grille d''évaluation'!F66="D","🟠 ÉLEVÉE",IF('Grille d''évaluation'!F66="C","🟡 MOYENNE",IF(OR('Grille d''évaluation'!F66="A",'Grille d''évaluation'!F66="B"),"✓ Conforme",""))))</f>
        <v/>
      </c>
    </row>
    <row r="67" customFormat="false" ht="43.5" hidden="false" customHeight="true" outlineLevel="0" collapsed="false">
      <c r="A67" s="62" t="str">
        <f aca="false">'Grille d''évaluation'!A67</f>
        <v>9.2</v>
      </c>
      <c r="B67" s="63" t="str">
        <f aca="false">'Grille d''évaluation'!B67</f>
        <v>Axe 9</v>
      </c>
      <c r="C67" s="28" t="str">
        <f aca="false">'Grille d''évaluation'!C67</f>
        <v>Un système de recueil, traitement et analyse des événements indésirables (EI/EIG) est en place ; actions correctives suivies.</v>
      </c>
      <c r="D67" s="64" t="n">
        <f aca="false">'Grille d''évaluation'!F67</f>
        <v>0</v>
      </c>
      <c r="E67" s="65" t="str">
        <f aca="false">'Grille d''évaluation'!E67</f>
        <v>I</v>
      </c>
      <c r="F67" s="28" t="n">
        <f aca="false">'Grille d''évaluation'!J67</f>
        <v>0</v>
      </c>
      <c r="G67" s="28" t="n">
        <f aca="false">'Grille d''évaluation'!I67</f>
        <v>0</v>
      </c>
      <c r="H67" s="66" t="n">
        <f aca="false">'Grille d''évaluation'!K67</f>
        <v>0</v>
      </c>
      <c r="I67" s="66" t="n">
        <f aca="false">'Grille d''évaluation'!L67</f>
        <v>0</v>
      </c>
      <c r="J67" s="66" t="n">
        <f aca="false">'Grille d''évaluation'!M67</f>
        <v>0</v>
      </c>
      <c r="K67" s="62" t="str">
        <f aca="false">IF(AND('Grille d''évaluation'!E67="I",OR('Grille d''évaluation'!F67="C",'Grille d''évaluation'!F67="D")),"🔴 CRITIQUE",IF('Grille d''évaluation'!F67="D","🟠 ÉLEVÉE",IF('Grille d''évaluation'!F67="C","🟡 MOYENNE",IF(OR('Grille d''évaluation'!F67="A",'Grille d''évaluation'!F67="B"),"✓ Conforme",""))))</f>
        <v/>
      </c>
    </row>
    <row r="68" customFormat="false" ht="43.5" hidden="false" customHeight="true" outlineLevel="0" collapsed="false">
      <c r="A68" s="62" t="str">
        <f aca="false">'Grille d''évaluation'!A68</f>
        <v>9.3</v>
      </c>
      <c r="B68" s="63" t="str">
        <f aca="false">'Grille d''évaluation'!B68</f>
        <v>Axe 9</v>
      </c>
      <c r="C68" s="28" t="str">
        <f aca="false">'Grille d''évaluation'!C68</f>
        <v>Un système de recueil et traitement des plaintes et réclamations est en place ; parties prenantes informées des suites.</v>
      </c>
      <c r="D68" s="64" t="n">
        <f aca="false">'Grille d''évaluation'!F68</f>
        <v>0</v>
      </c>
      <c r="E68" s="65" t="str">
        <f aca="false">'Grille d''évaluation'!E68</f>
        <v>I</v>
      </c>
      <c r="F68" s="28" t="n">
        <f aca="false">'Grille d''évaluation'!J68</f>
        <v>0</v>
      </c>
      <c r="G68" s="28" t="n">
        <f aca="false">'Grille d''évaluation'!I68</f>
        <v>0</v>
      </c>
      <c r="H68" s="66" t="n">
        <f aca="false">'Grille d''évaluation'!K68</f>
        <v>0</v>
      </c>
      <c r="I68" s="66" t="n">
        <f aca="false">'Grille d''évaluation'!L68</f>
        <v>0</v>
      </c>
      <c r="J68" s="66" t="n">
        <f aca="false">'Grille d''évaluation'!M68</f>
        <v>0</v>
      </c>
      <c r="K68" s="62" t="str">
        <f aca="false">IF(AND('Grille d''évaluation'!E68="I",OR('Grille d''évaluation'!F68="C",'Grille d''évaluation'!F68="D")),"🔴 CRITIQUE",IF('Grille d''évaluation'!F68="D","🟠 ÉLEVÉE",IF('Grille d''évaluation'!F68="C","🟡 MOYENNE",IF(OR('Grille d''évaluation'!F68="A",'Grille d''évaluation'!F68="B"),"✓ Conforme",""))))</f>
        <v/>
      </c>
    </row>
    <row r="69" customFormat="false" ht="43.5" hidden="false" customHeight="true" outlineLevel="0" collapsed="false">
      <c r="A69" s="62" t="str">
        <f aca="false">'Grille d''évaluation'!A69</f>
        <v>9.4</v>
      </c>
      <c r="B69" s="63" t="str">
        <f aca="false">'Grille d''évaluation'!B69</f>
        <v>Axe 9</v>
      </c>
      <c r="C69" s="28" t="str">
        <f aca="false">'Grille d''évaluation'!C69</f>
        <v>Les professionnels sont sensibilisés et/ou formés à la gestion des événements indésirables.</v>
      </c>
      <c r="D69" s="64" t="n">
        <f aca="false">'Grille d''évaluation'!F69</f>
        <v>0</v>
      </c>
      <c r="E69" s="65" t="str">
        <f aca="false">'Grille d''évaluation'!E69</f>
        <v>S</v>
      </c>
      <c r="F69" s="28" t="n">
        <f aca="false">'Grille d''évaluation'!J69</f>
        <v>0</v>
      </c>
      <c r="G69" s="28" t="n">
        <f aca="false">'Grille d''évaluation'!I69</f>
        <v>0</v>
      </c>
      <c r="H69" s="66" t="n">
        <f aca="false">'Grille d''évaluation'!K69</f>
        <v>0</v>
      </c>
      <c r="I69" s="66" t="n">
        <f aca="false">'Grille d''évaluation'!L69</f>
        <v>0</v>
      </c>
      <c r="J69" s="66" t="n">
        <f aca="false">'Grille d''évaluation'!M69</f>
        <v>0</v>
      </c>
      <c r="K69" s="62" t="str">
        <f aca="false">IF(AND('Grille d''évaluation'!E69="I",OR('Grille d''évaluation'!F69="C",'Grille d''évaluation'!F69="D")),"🔴 CRITIQUE",IF('Grille d''évaluation'!F69="D","🟠 ÉLEVÉE",IF('Grille d''évaluation'!F69="C","🟡 MOYENNE",IF(OR('Grille d''évaluation'!F69="A",'Grille d''évaluation'!F69="B"),"✓ Conforme",""))))</f>
        <v/>
      </c>
    </row>
    <row r="70" customFormat="false" ht="43.5" hidden="false" customHeight="true" outlineLevel="0" collapsed="false">
      <c r="A70" s="62" t="str">
        <f aca="false">'Grille d''évaluation'!A70</f>
        <v>9.5</v>
      </c>
      <c r="B70" s="63" t="str">
        <f aca="false">'Grille d''évaluation'!B70</f>
        <v>Axe 9</v>
      </c>
      <c r="C70" s="28" t="str">
        <f aca="false">'Grille d''évaluation'!C70</f>
        <v>L'ESSMS est doté d'un plan de gestion de crise et de continuité d'activité, communiqué et réactualisé ; exercices et REX organisés.</v>
      </c>
      <c r="D70" s="64" t="n">
        <f aca="false">'Grille d''évaluation'!F70</f>
        <v>0</v>
      </c>
      <c r="E70" s="65" t="str">
        <f aca="false">'Grille d''évaluation'!E70</f>
        <v>I</v>
      </c>
      <c r="F70" s="28" t="n">
        <f aca="false">'Grille d''évaluation'!J70</f>
        <v>0</v>
      </c>
      <c r="G70" s="28" t="n">
        <f aca="false">'Grille d''évaluation'!I70</f>
        <v>0</v>
      </c>
      <c r="H70" s="66" t="n">
        <f aca="false">'Grille d''évaluation'!K70</f>
        <v>0</v>
      </c>
      <c r="I70" s="66" t="n">
        <f aca="false">'Grille d''évaluation'!L70</f>
        <v>0</v>
      </c>
      <c r="J70" s="66" t="n">
        <f aca="false">'Grille d''évaluation'!M70</f>
        <v>0</v>
      </c>
      <c r="K70" s="62" t="str">
        <f aca="false">IF(AND('Grille d''évaluation'!E70="I",OR('Grille d''évaluation'!F70="C",'Grille d''évaluation'!F70="D")),"🔴 CRITIQUE",IF('Grille d''évaluation'!F70="D","🟠 ÉLEVÉE",IF('Grille d''évaluation'!F70="C","🟡 MOYENNE",IF(OR('Grille d''évaluation'!F70="A",'Grille d''évaluation'!F70="B"),"✓ Conforme",""))))</f>
        <v/>
      </c>
    </row>
    <row r="71" customFormat="false" ht="43.5" hidden="false" customHeight="true" outlineLevel="0" collapsed="false">
      <c r="A71" s="62" t="str">
        <f aca="false">'Grille d''évaluation'!A71</f>
        <v>9.6</v>
      </c>
      <c r="B71" s="63" t="str">
        <f aca="false">'Grille d''évaluation'!B71</f>
        <v>Axe 9</v>
      </c>
      <c r="C71" s="28" t="str">
        <f aca="false">'Grille d''évaluation'!C71</f>
        <v>Des audits internes et externes sont planifiés ; les écarts donnent lieu à des plans d'action mesurés.</v>
      </c>
      <c r="D71" s="64" t="n">
        <f aca="false">'Grille d''évaluation'!F71</f>
        <v>0</v>
      </c>
      <c r="E71" s="65" t="str">
        <f aca="false">'Grille d''évaluation'!E71</f>
        <v>S</v>
      </c>
      <c r="F71" s="28" t="n">
        <f aca="false">'Grille d''évaluation'!J71</f>
        <v>0</v>
      </c>
      <c r="G71" s="28" t="n">
        <f aca="false">'Grille d''évaluation'!I71</f>
        <v>0</v>
      </c>
      <c r="H71" s="66" t="n">
        <f aca="false">'Grille d''évaluation'!K71</f>
        <v>0</v>
      </c>
      <c r="I71" s="66" t="n">
        <f aca="false">'Grille d''évaluation'!L71</f>
        <v>0</v>
      </c>
      <c r="J71" s="66" t="n">
        <f aca="false">'Grille d''évaluation'!M71</f>
        <v>0</v>
      </c>
      <c r="K71" s="62" t="str">
        <f aca="false">IF(AND('Grille d''évaluation'!E71="I",OR('Grille d''évaluation'!F71="C",'Grille d''évaluation'!F71="D")),"🔴 CRITIQUE",IF('Grille d''évaluation'!F71="D","🟠 ÉLEVÉE",IF('Grille d''évaluation'!F71="C","🟡 MOYENNE",IF(OR('Grille d''évaluation'!F71="A",'Grille d''évaluation'!F71="B"),"✓ Conforme",""))))</f>
        <v/>
      </c>
    </row>
    <row r="72" customFormat="false" ht="43.5" hidden="false" customHeight="true" outlineLevel="0" collapsed="false">
      <c r="A72" s="62" t="str">
        <f aca="false">'Grille d''évaluation'!A72</f>
        <v>9.7</v>
      </c>
      <c r="B72" s="63" t="str">
        <f aca="false">'Grille d''évaluation'!B72</f>
        <v>Axe 9</v>
      </c>
      <c r="C72" s="28" t="str">
        <f aca="false">'Grille d''évaluation'!C72</f>
        <v>L'ESSMS s'inscrit dans une dynamique d'innovation, déploie une stratégie numérique et de développement durable.</v>
      </c>
      <c r="D72" s="64" t="n">
        <f aca="false">'Grille d''évaluation'!F72</f>
        <v>0</v>
      </c>
      <c r="E72" s="65" t="str">
        <f aca="false">'Grille d''évaluation'!E72</f>
        <v>S</v>
      </c>
      <c r="F72" s="28" t="n">
        <f aca="false">'Grille d''évaluation'!J72</f>
        <v>0</v>
      </c>
      <c r="G72" s="28" t="n">
        <f aca="false">'Grille d''évaluation'!I72</f>
        <v>0</v>
      </c>
      <c r="H72" s="66" t="n">
        <f aca="false">'Grille d''évaluation'!K72</f>
        <v>0</v>
      </c>
      <c r="I72" s="66" t="n">
        <f aca="false">'Grille d''évaluation'!L72</f>
        <v>0</v>
      </c>
      <c r="J72" s="66" t="n">
        <f aca="false">'Grille d''évaluation'!M72</f>
        <v>0</v>
      </c>
      <c r="K72" s="62" t="str">
        <f aca="false">IF(AND('Grille d''évaluation'!E72="I",OR('Grille d''évaluation'!F72="C",'Grille d''évaluation'!F72="D")),"🔴 CRITIQUE",IF('Grille d''évaluation'!F72="D","🟠 ÉLEVÉE",IF('Grille d''évaluation'!F72="C","🟡 MOYENNE",IF(OR('Grille d''évaluation'!F72="A",'Grille d''évaluation'!F72="B"),"✓ Conforme",""))))</f>
        <v/>
      </c>
    </row>
    <row r="73" customFormat="false" ht="43.5" hidden="false" customHeight="true" outlineLevel="0" collapsed="false">
      <c r="A73" s="62" t="str">
        <f aca="false">'Grille d''évaluation'!A73</f>
        <v>9.8</v>
      </c>
      <c r="B73" s="63" t="str">
        <f aca="false">'Grille d''évaluation'!B73</f>
        <v>Axe 9</v>
      </c>
      <c r="C73" s="28" t="str">
        <f aca="false">'Grille d''évaluation'!C73</f>
        <v>Les professionnels sont régulièrement sensibilisés et/ou formés aux outils numériques.</v>
      </c>
      <c r="D73" s="64" t="n">
        <f aca="false">'Grille d''évaluation'!F73</f>
        <v>0</v>
      </c>
      <c r="E73" s="65" t="str">
        <f aca="false">'Grille d''évaluation'!E73</f>
        <v>S</v>
      </c>
      <c r="F73" s="28" t="n">
        <f aca="false">'Grille d''évaluation'!J73</f>
        <v>0</v>
      </c>
      <c r="G73" s="28" t="n">
        <f aca="false">'Grille d''évaluation'!I73</f>
        <v>0</v>
      </c>
      <c r="H73" s="66" t="n">
        <f aca="false">'Grille d''évaluation'!K73</f>
        <v>0</v>
      </c>
      <c r="I73" s="66" t="n">
        <f aca="false">'Grille d''évaluation'!L73</f>
        <v>0</v>
      </c>
      <c r="J73" s="66" t="n">
        <f aca="false">'Grille d''évaluation'!M73</f>
        <v>0</v>
      </c>
      <c r="K73" s="62" t="str">
        <f aca="false">IF(AND('Grille d''évaluation'!E73="I",OR('Grille d''évaluation'!F73="C",'Grille d''évaluation'!F73="D")),"🔴 CRITIQUE",IF('Grille d''évaluation'!F73="D","🟠 ÉLEVÉE",IF('Grille d''évaluation'!F73="C","🟡 MOYENNE",IF(OR('Grille d''évaluation'!F73="A",'Grille d''évaluation'!F73="B"),"✓ Conforme",""))))</f>
        <v/>
      </c>
    </row>
    <row r="74" customFormat="false" ht="43.5" hidden="false" customHeight="true" outlineLevel="0" collapsed="false">
      <c r="A74" s="62" t="str">
        <f aca="false">'Grille d''évaluation'!A74</f>
        <v>10.1</v>
      </c>
      <c r="B74" s="63" t="str">
        <f aca="false">'Grille d''évaluation'!B74</f>
        <v>Axe 10</v>
      </c>
      <c r="C74" s="28" t="str">
        <f aca="false">'Grille d''évaluation'!C74</f>
        <v>La structure établit des liens formalisés et durables avec les acteurs du handicap (MDPH, associations, centres ressources).</v>
      </c>
      <c r="D74" s="64" t="n">
        <f aca="false">'Grille d''évaluation'!F74</f>
        <v>0</v>
      </c>
      <c r="E74" s="65" t="str">
        <f aca="false">'Grille d''évaluation'!E74</f>
        <v>+</v>
      </c>
      <c r="F74" s="28" t="n">
        <f aca="false">'Grille d''évaluation'!J74</f>
        <v>0</v>
      </c>
      <c r="G74" s="28" t="n">
        <f aca="false">'Grille d''évaluation'!I74</f>
        <v>0</v>
      </c>
      <c r="H74" s="66" t="n">
        <f aca="false">'Grille d''évaluation'!K74</f>
        <v>0</v>
      </c>
      <c r="I74" s="66" t="n">
        <f aca="false">'Grille d''évaluation'!L74</f>
        <v>0</v>
      </c>
      <c r="J74" s="66" t="n">
        <f aca="false">'Grille d''évaluation'!M74</f>
        <v>0</v>
      </c>
      <c r="K74" s="62" t="str">
        <f aca="false">IF(AND('Grille d''évaluation'!E74="I",OR('Grille d''évaluation'!F74="C",'Grille d''évaluation'!F74="D")),"🔴 CRITIQUE",IF('Grille d''évaluation'!F74="D","🟠 ÉLEVÉE",IF('Grille d''évaluation'!F74="C","🟡 MOYENNE",IF(OR('Grille d''évaluation'!F74="A",'Grille d''évaluation'!F74="B"),"✓ Conforme",""))))</f>
        <v/>
      </c>
    </row>
    <row r="75" customFormat="false" ht="43.5" hidden="false" customHeight="true" outlineLevel="0" collapsed="false">
      <c r="A75" s="62" t="str">
        <f aca="false">'Grille d''évaluation'!A75</f>
        <v>10.2</v>
      </c>
      <c r="B75" s="63" t="str">
        <f aca="false">'Grille d''évaluation'!B75</f>
        <v>Axe 10</v>
      </c>
      <c r="C75" s="28" t="str">
        <f aca="false">'Grille d''évaluation'!C75</f>
        <v>La sous-traitance éventuelle est encadrée : sous-traitant Cap'Handéo de préférence, ou titulaire d'une autorisation/agrément.</v>
      </c>
      <c r="D75" s="64" t="n">
        <f aca="false">'Grille d''évaluation'!F75</f>
        <v>0</v>
      </c>
      <c r="E75" s="65" t="str">
        <f aca="false">'Grille d''évaluation'!E75</f>
        <v>+</v>
      </c>
      <c r="F75" s="28" t="n">
        <f aca="false">'Grille d''évaluation'!J75</f>
        <v>0</v>
      </c>
      <c r="G75" s="28" t="n">
        <f aca="false">'Grille d''évaluation'!I75</f>
        <v>0</v>
      </c>
      <c r="H75" s="66" t="n">
        <f aca="false">'Grille d''évaluation'!K75</f>
        <v>0</v>
      </c>
      <c r="I75" s="66" t="n">
        <f aca="false">'Grille d''évaluation'!L75</f>
        <v>0</v>
      </c>
      <c r="J75" s="66" t="n">
        <f aca="false">'Grille d''évaluation'!M75</f>
        <v>0</v>
      </c>
      <c r="K75" s="62" t="str">
        <f aca="false">IF(AND('Grille d''évaluation'!E75="I",OR('Grille d''évaluation'!F75="C",'Grille d''évaluation'!F75="D")),"🔴 CRITIQUE",IF('Grille d''évaluation'!F75="D","🟠 ÉLEVÉE",IF('Grille d''évaluation'!F75="C","🟡 MOYENNE",IF(OR('Grille d''évaluation'!F75="A",'Grille d''évaluation'!F75="B"),"✓ Conforme",""))))</f>
        <v/>
      </c>
    </row>
    <row r="76" customFormat="false" ht="43.5" hidden="false" customHeight="true" outlineLevel="0" collapsed="false">
      <c r="A76" s="62" t="str">
        <f aca="false">'Grille d''évaluation'!A76</f>
        <v>10.3</v>
      </c>
      <c r="B76" s="63" t="str">
        <f aca="false">'Grille d''évaluation'!B76</f>
        <v>Axe 10</v>
      </c>
      <c r="C76" s="28" t="str">
        <f aca="false">'Grille d''évaluation'!C76</f>
        <v>Les proches aidants sont identifiés, informés, soutenus ; un référent aidant et des dispositifs de répit sont accessibles.</v>
      </c>
      <c r="D76" s="64" t="n">
        <f aca="false">'Grille d''évaluation'!F76</f>
        <v>0</v>
      </c>
      <c r="E76" s="65" t="str">
        <f aca="false">'Grille d''évaluation'!E76</f>
        <v>+</v>
      </c>
      <c r="F76" s="28" t="n">
        <f aca="false">'Grille d''évaluation'!J76</f>
        <v>0</v>
      </c>
      <c r="G76" s="28" t="n">
        <f aca="false">'Grille d''évaluation'!I76</f>
        <v>0</v>
      </c>
      <c r="H76" s="66" t="n">
        <f aca="false">'Grille d''évaluation'!K76</f>
        <v>0</v>
      </c>
      <c r="I76" s="66" t="n">
        <f aca="false">'Grille d''évaluation'!L76</f>
        <v>0</v>
      </c>
      <c r="J76" s="66" t="n">
        <f aca="false">'Grille d''évaluation'!M76</f>
        <v>0</v>
      </c>
      <c r="K76" s="62" t="str">
        <f aca="false">IF(AND('Grille d''évaluation'!E76="I",OR('Grille d''évaluation'!F76="C",'Grille d''évaluation'!F76="D")),"🔴 CRITIQUE",IF('Grille d''évaluation'!F76="D","🟠 ÉLEVÉE",IF('Grille d''évaluation'!F76="C","🟡 MOYENNE",IF(OR('Grille d''évaluation'!F76="A",'Grille d''évaluation'!F76="B"),"✓ Conforme",""))))</f>
        <v/>
      </c>
    </row>
    <row r="77" customFormat="false" ht="43.5" hidden="false" customHeight="true" outlineLevel="0" collapsed="false">
      <c r="A77" s="62" t="str">
        <f aca="false">'Grille d''évaluation'!A77</f>
        <v>10.4</v>
      </c>
      <c r="B77" s="63" t="str">
        <f aca="false">'Grille d''évaluation'!B77</f>
        <v>Axe 10</v>
      </c>
      <c r="C77" s="28" t="str">
        <f aca="false">'Grille d''évaluation'!C77</f>
        <v>Une relation régulière est entretenue avec Handéo Services ; un recours est prévu en cas de difficultés.</v>
      </c>
      <c r="D77" s="64" t="n">
        <f aca="false">'Grille d''évaluation'!F77</f>
        <v>0</v>
      </c>
      <c r="E77" s="65" t="str">
        <f aca="false">'Grille d''évaluation'!E77</f>
        <v>+</v>
      </c>
      <c r="F77" s="28" t="n">
        <f aca="false">'Grille d''évaluation'!J77</f>
        <v>0</v>
      </c>
      <c r="G77" s="28" t="n">
        <f aca="false">'Grille d''évaluation'!I77</f>
        <v>0</v>
      </c>
      <c r="H77" s="66" t="n">
        <f aca="false">'Grille d''évaluation'!K77</f>
        <v>0</v>
      </c>
      <c r="I77" s="66" t="n">
        <f aca="false">'Grille d''évaluation'!L77</f>
        <v>0</v>
      </c>
      <c r="J77" s="66" t="n">
        <f aca="false">'Grille d''évaluation'!M77</f>
        <v>0</v>
      </c>
      <c r="K77" s="62" t="str">
        <f aca="false">IF(AND('Grille d''évaluation'!E77="I",OR('Grille d''évaluation'!F77="C",'Grille d''évaluation'!F77="D")),"🔴 CRITIQUE",IF('Grille d''évaluation'!F77="D","🟠 ÉLEVÉE",IF('Grille d''évaluation'!F77="C","🟡 MOYENNE",IF(OR('Grille d''évaluation'!F77="A",'Grille d''évaluation'!F77="B"),"✓ Conforme",""))))</f>
        <v/>
      </c>
    </row>
    <row r="78" customFormat="false" ht="43.5" hidden="false" customHeight="true" outlineLevel="0" collapsed="false">
      <c r="A78" s="62" t="str">
        <f aca="false">'Grille d''évaluation'!A78</f>
        <v>10.5</v>
      </c>
      <c r="B78" s="63" t="str">
        <f aca="false">'Grille d''évaluation'!B78</f>
        <v>Axe 10</v>
      </c>
      <c r="C78" s="28" t="str">
        <f aca="false">'Grille d''évaluation'!C78</f>
        <v>La structure participe à la remontée d'observations terrain pour faire évoluer l'offre et le référentiel.</v>
      </c>
      <c r="D78" s="64" t="n">
        <f aca="false">'Grille d''évaluation'!F78</f>
        <v>0</v>
      </c>
      <c r="E78" s="65" t="str">
        <f aca="false">'Grille d''évaluation'!E78</f>
        <v>+</v>
      </c>
      <c r="F78" s="28" t="n">
        <f aca="false">'Grille d''évaluation'!J78</f>
        <v>0</v>
      </c>
      <c r="G78" s="28" t="n">
        <f aca="false">'Grille d''évaluation'!I78</f>
        <v>0</v>
      </c>
      <c r="H78" s="66" t="n">
        <f aca="false">'Grille d''évaluation'!K78</f>
        <v>0</v>
      </c>
      <c r="I78" s="66" t="n">
        <f aca="false">'Grille d''évaluation'!L78</f>
        <v>0</v>
      </c>
      <c r="J78" s="66" t="n">
        <f aca="false">'Grille d''évaluation'!M78</f>
        <v>0</v>
      </c>
      <c r="K78" s="62" t="str">
        <f aca="false">IF(AND('Grille d''évaluation'!E78="I",OR('Grille d''évaluation'!F78="C",'Grille d''évaluation'!F78="D")),"🔴 CRITIQUE",IF('Grille d''évaluation'!F78="D","🟠 ÉLEVÉE",IF('Grille d''évaluation'!F78="C","🟡 MOYENNE",IF(OR('Grille d''évaluation'!F78="A",'Grille d''évaluation'!F78="B"),"✓ Conforme",""))))</f>
        <v/>
      </c>
    </row>
  </sheetData>
  <autoFilter ref="A3:K78"/>
  <mergeCells count="2">
    <mergeCell ref="A1:K1"/>
    <mergeCell ref="A2:K2"/>
  </mergeCells>
  <conditionalFormatting sqref="D4:D78">
    <cfRule type="expression" priority="2" aboveAverage="0" equalAverage="0" bottom="0" percent="0" rank="0" text="" dxfId="11">
      <formula>$D4="A"</formula>
    </cfRule>
    <cfRule type="expression" priority="3" aboveAverage="0" equalAverage="0" bottom="0" percent="0" rank="0" text="" dxfId="12">
      <formula>$D4="B"</formula>
    </cfRule>
    <cfRule type="expression" priority="4" aboveAverage="0" equalAverage="0" bottom="0" percent="0" rank="0" text="" dxfId="13">
      <formula>$D4="C"</formula>
    </cfRule>
    <cfRule type="expression" priority="5" aboveAverage="0" equalAverage="0" bottom="0" percent="0" rank="0" text="" dxfId="14">
      <formula>$D4="D"</formula>
    </cfRule>
    <cfRule type="expression" priority="6" aboveAverage="0" equalAverage="0" bottom="0" percent="0" rank="0" text="" dxfId="15">
      <formula>$D4="NA"</formula>
    </cfRule>
  </conditionalFormatting>
  <conditionalFormatting sqref="E4:E78">
    <cfRule type="expression" priority="7" aboveAverage="0" equalAverage="0" bottom="0" percent="0" rank="0" text="" dxfId="14">
      <formula>$E4="I"</formula>
    </cfRule>
    <cfRule type="expression" priority="8" aboveAverage="0" equalAverage="0" bottom="0" percent="0" rank="0" text="" dxfId="17">
      <formula>$E4="+"</formula>
    </cfRule>
  </conditionalFormatting>
  <conditionalFormatting sqref="K4:K78">
    <cfRule type="expression" priority="9" aboveAverage="0" equalAverage="0" bottom="0" percent="0" rank="0" text="" dxfId="18">
      <formula>ISNUMBER(SEARCH("CRITIQUE",$K4))</formula>
    </cfRule>
    <cfRule type="expression" priority="10" aboveAverage="0" equalAverage="0" bottom="0" percent="0" rank="0" text="" dxfId="19">
      <formula>ISNUMBER(SEARCH("ÉLEVÉE",$K4))</formula>
    </cfRule>
    <cfRule type="expression" priority="11" aboveAverage="0" equalAverage="0" bottom="0" percent="0" rank="0" text="" dxfId="20">
      <formula>ISNUMBER(SEARCH("MOYENNE",$K4))</formula>
    </cfRule>
    <cfRule type="expression" priority="12" aboveAverage="0" equalAverage="0" bottom="0" percent="0" rank="0" text="" dxfId="21">
      <formula>ISNUMBER(SEARCH("Conforme",$K4))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95"/>
  </cols>
  <sheetData>
    <row r="2" customFormat="false" ht="22.05" hidden="false" customHeight="false" outlineLevel="0" collapsed="false">
      <c r="B2" s="67" t="s">
        <v>290</v>
      </c>
    </row>
    <row r="4" customFormat="false" ht="24" hidden="false" customHeight="true" outlineLevel="0" collapsed="false">
      <c r="B4" s="43" t="s">
        <v>291</v>
      </c>
      <c r="C4" s="43" t="s">
        <v>292</v>
      </c>
    </row>
    <row r="5" customFormat="false" ht="30" hidden="false" customHeight="true" outlineLevel="0" collapsed="false">
      <c r="B5" s="68" t="s">
        <v>67</v>
      </c>
      <c r="C5" s="69" t="s">
        <v>293</v>
      </c>
    </row>
    <row r="6" customFormat="false" ht="30" hidden="false" customHeight="true" outlineLevel="0" collapsed="false">
      <c r="B6" s="68" t="s">
        <v>67</v>
      </c>
      <c r="C6" s="69" t="s">
        <v>294</v>
      </c>
    </row>
    <row r="7" customFormat="false" ht="30" hidden="false" customHeight="true" outlineLevel="0" collapsed="false">
      <c r="B7" s="70" t="s">
        <v>167</v>
      </c>
      <c r="C7" s="69" t="s">
        <v>295</v>
      </c>
    </row>
    <row r="8" customFormat="false" ht="30" hidden="false" customHeight="true" outlineLevel="0" collapsed="false">
      <c r="B8" s="70" t="s">
        <v>167</v>
      </c>
      <c r="C8" s="69" t="s">
        <v>296</v>
      </c>
    </row>
    <row r="9" customFormat="false" ht="30" hidden="false" customHeight="true" outlineLevel="0" collapsed="false">
      <c r="B9" s="70" t="s">
        <v>167</v>
      </c>
      <c r="C9" s="69" t="s">
        <v>297</v>
      </c>
    </row>
    <row r="10" customFormat="false" ht="30" hidden="false" customHeight="true" outlineLevel="0" collapsed="false">
      <c r="B10" s="70" t="s">
        <v>167</v>
      </c>
      <c r="C10" s="69" t="s">
        <v>298</v>
      </c>
    </row>
    <row r="11" customFormat="false" ht="30" hidden="false" customHeight="true" outlineLevel="0" collapsed="false">
      <c r="B11" s="71" t="s">
        <v>299</v>
      </c>
      <c r="C11" s="69" t="s">
        <v>300</v>
      </c>
    </row>
    <row r="12" customFormat="false" ht="30" hidden="false" customHeight="true" outlineLevel="0" collapsed="false">
      <c r="B12" s="71" t="s">
        <v>299</v>
      </c>
      <c r="C12" s="69" t="s">
        <v>301</v>
      </c>
    </row>
    <row r="13" customFormat="false" ht="30" hidden="false" customHeight="true" outlineLevel="0" collapsed="false">
      <c r="B13" s="71" t="s">
        <v>299</v>
      </c>
      <c r="C13" s="69" t="s">
        <v>302</v>
      </c>
    </row>
    <row r="14" customFormat="false" ht="30" hidden="false" customHeight="true" outlineLevel="0" collapsed="false">
      <c r="B14" s="71" t="s">
        <v>299</v>
      </c>
      <c r="C14" s="69" t="s">
        <v>303</v>
      </c>
    </row>
    <row r="16" customFormat="false" ht="49.5" hidden="false" customHeight="true" outlineLevel="0" collapsed="false">
      <c r="B16" s="72" t="s">
        <v>304</v>
      </c>
      <c r="C16" s="72"/>
    </row>
  </sheetData>
  <mergeCells count="1"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2026-05-22T08:44:37Z</dcterms:created>
  <dc:creator>openpyxl</dc:creator>
  <dc:description/>
  <dc:language>en-US</dc:language>
  <cp:lastModifiedBy/>
  <dcterms:modified xsi:type="dcterms:W3CDTF">2026-05-22T08:44:37Z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